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esktop\pc project\rlpc\AX08-PC\"/>
    </mc:Choice>
  </mc:AlternateContent>
  <xr:revisionPtr revIDLastSave="0" documentId="13_ncr:1_{E505D9EE-13DD-4E62-AC93-B5A023966D77}" xr6:coauthVersionLast="47" xr6:coauthVersionMax="47" xr10:uidLastSave="{00000000-0000-0000-0000-000000000000}"/>
  <bookViews>
    <workbookView xWindow="-98" yWindow="-98" windowWidth="28996" windowHeight="15796" xr2:uid="{9E4BE3C4-600D-4A58-9D6E-A286F07640A8}"/>
  </bookViews>
  <sheets>
    <sheet name="registers" sheetId="2" r:id="rId1"/>
    <sheet name="instructions" sheetId="1" r:id="rId2"/>
    <sheet name="operations" sheetId="7" r:id="rId3"/>
    <sheet name="operations_lite" sheetId="12" r:id="rId4"/>
    <sheet name="condition" sheetId="4" r:id="rId5"/>
    <sheet name="bus" sheetId="5" r:id="rId6"/>
    <sheet name="cycle" sheetId="9" r:id="rId7"/>
    <sheet name="memory" sheetId="11" r:id="rId8"/>
    <sheet name="seq-brg protocol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G35" i="12"/>
  <c r="F35" i="12"/>
  <c r="E35" i="12"/>
  <c r="D35" i="12"/>
  <c r="C35" i="12"/>
  <c r="G34" i="12"/>
  <c r="F34" i="12"/>
  <c r="E34" i="12"/>
  <c r="D34" i="12"/>
  <c r="C34" i="12"/>
  <c r="G33" i="12"/>
  <c r="F33" i="12"/>
  <c r="E33" i="12"/>
  <c r="D33" i="12"/>
  <c r="C33" i="12"/>
  <c r="G32" i="12"/>
  <c r="F32" i="12"/>
  <c r="E32" i="12"/>
  <c r="D32" i="12"/>
  <c r="C32" i="12"/>
  <c r="G31" i="12"/>
  <c r="F31" i="12"/>
  <c r="E31" i="12"/>
  <c r="D31" i="12"/>
  <c r="C31" i="12"/>
  <c r="G30" i="12"/>
  <c r="F30" i="12"/>
  <c r="E30" i="12"/>
  <c r="D30" i="12"/>
  <c r="C30" i="12"/>
  <c r="G29" i="12"/>
  <c r="F29" i="12"/>
  <c r="E29" i="12"/>
  <c r="D29" i="12"/>
  <c r="C29" i="12"/>
  <c r="G28" i="12"/>
  <c r="F28" i="12"/>
  <c r="E28" i="12"/>
  <c r="D28" i="12"/>
  <c r="C28" i="12"/>
  <c r="G27" i="12"/>
  <c r="F27" i="12"/>
  <c r="E27" i="12"/>
  <c r="D27" i="12"/>
  <c r="C27" i="12"/>
  <c r="G26" i="12"/>
  <c r="F26" i="12"/>
  <c r="E26" i="12"/>
  <c r="D26" i="12"/>
  <c r="C26" i="12"/>
  <c r="G25" i="12"/>
  <c r="F25" i="12"/>
  <c r="E25" i="12"/>
  <c r="D25" i="12"/>
  <c r="C25" i="12"/>
  <c r="G24" i="12"/>
  <c r="F24" i="12"/>
  <c r="E24" i="12"/>
  <c r="D24" i="12"/>
  <c r="C24" i="12"/>
  <c r="G23" i="12"/>
  <c r="F23" i="12"/>
  <c r="E23" i="12"/>
  <c r="D23" i="12"/>
  <c r="C23" i="12"/>
  <c r="G22" i="12"/>
  <c r="F22" i="12"/>
  <c r="E22" i="12"/>
  <c r="D22" i="12"/>
  <c r="C22" i="12"/>
  <c r="G21" i="12"/>
  <c r="F21" i="12"/>
  <c r="E21" i="12"/>
  <c r="D21" i="12"/>
  <c r="C21" i="12"/>
  <c r="G20" i="12"/>
  <c r="F20" i="12"/>
  <c r="E20" i="12"/>
  <c r="D20" i="12"/>
  <c r="C20" i="12"/>
  <c r="G19" i="12"/>
  <c r="F19" i="12"/>
  <c r="E19" i="12"/>
  <c r="D19" i="12"/>
  <c r="C19" i="12"/>
  <c r="G18" i="12"/>
  <c r="F18" i="12"/>
  <c r="E18" i="12"/>
  <c r="D18" i="12"/>
  <c r="C18" i="12"/>
  <c r="G17" i="12"/>
  <c r="F17" i="12"/>
  <c r="E17" i="12"/>
  <c r="D17" i="12"/>
  <c r="C17" i="12"/>
  <c r="G16" i="12"/>
  <c r="F16" i="12"/>
  <c r="E16" i="12"/>
  <c r="D16" i="12"/>
  <c r="C16" i="12"/>
  <c r="G15" i="12"/>
  <c r="F15" i="12"/>
  <c r="E15" i="12"/>
  <c r="D15" i="12"/>
  <c r="C15" i="12"/>
  <c r="G14" i="12"/>
  <c r="F14" i="12"/>
  <c r="E14" i="12"/>
  <c r="D14" i="12"/>
  <c r="C14" i="12"/>
  <c r="G13" i="12"/>
  <c r="F13" i="12"/>
  <c r="E13" i="12"/>
  <c r="D13" i="12"/>
  <c r="C13" i="12"/>
  <c r="G12" i="12"/>
  <c r="F12" i="12"/>
  <c r="E12" i="12"/>
  <c r="D12" i="12"/>
  <c r="C12" i="12"/>
  <c r="G11" i="12"/>
  <c r="F11" i="12"/>
  <c r="E11" i="12"/>
  <c r="D11" i="12"/>
  <c r="C11" i="12"/>
  <c r="G10" i="12"/>
  <c r="F10" i="12"/>
  <c r="E10" i="12"/>
  <c r="D10" i="12"/>
  <c r="C10" i="12"/>
  <c r="G9" i="12"/>
  <c r="F9" i="12"/>
  <c r="E9" i="12"/>
  <c r="D9" i="12"/>
  <c r="C9" i="12"/>
  <c r="G8" i="12"/>
  <c r="F8" i="12"/>
  <c r="E8" i="12"/>
  <c r="D8" i="12"/>
  <c r="C8" i="12"/>
  <c r="G7" i="12"/>
  <c r="F7" i="12"/>
  <c r="E7" i="12"/>
  <c r="D7" i="12"/>
  <c r="C7" i="12"/>
  <c r="G6" i="12"/>
  <c r="F6" i="12"/>
  <c r="E6" i="12"/>
  <c r="D6" i="12"/>
  <c r="C6" i="12"/>
  <c r="G5" i="12"/>
  <c r="F5" i="12"/>
  <c r="E5" i="12"/>
  <c r="D5" i="12"/>
  <c r="C5" i="12"/>
  <c r="G4" i="12"/>
  <c r="F4" i="12"/>
  <c r="E4" i="12"/>
  <c r="D4" i="12"/>
  <c r="C4" i="12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G35" i="7"/>
  <c r="F35" i="7"/>
  <c r="E35" i="7"/>
  <c r="D35" i="7"/>
  <c r="C35" i="7"/>
  <c r="G34" i="7"/>
  <c r="F34" i="7"/>
  <c r="E34" i="7"/>
  <c r="D34" i="7"/>
  <c r="C34" i="7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4" i="2"/>
  <c r="E4" i="2"/>
  <c r="D4" i="2"/>
  <c r="F4" i="2"/>
</calcChain>
</file>

<file path=xl/sharedStrings.xml><?xml version="1.0" encoding="utf-8"?>
<sst xmlns="http://schemas.openxmlformats.org/spreadsheetml/2006/main" count="415" uniqueCount="207">
  <si>
    <t>MODE B</t>
  </si>
  <si>
    <t>MODE A</t>
  </si>
  <si>
    <t>B</t>
  </si>
  <si>
    <t>A</t>
  </si>
  <si>
    <t>OPERATION [0:4]</t>
  </si>
  <si>
    <t>Operation</t>
  </si>
  <si>
    <t>Output</t>
  </si>
  <si>
    <t>A and B</t>
  </si>
  <si>
    <t>A nand B</t>
  </si>
  <si>
    <t>A or B</t>
  </si>
  <si>
    <t>A nor B</t>
  </si>
  <si>
    <t>A xor B</t>
  </si>
  <si>
    <t>A xnor B</t>
  </si>
  <si>
    <t>A + B</t>
  </si>
  <si>
    <t>A - B</t>
  </si>
  <si>
    <t>address</t>
  </si>
  <si>
    <t>value</t>
  </si>
  <si>
    <t>BIT GET</t>
  </si>
  <si>
    <t>bit</t>
  </si>
  <si>
    <t>BIT SET</t>
  </si>
  <si>
    <t>BIT CLEAR</t>
  </si>
  <si>
    <t>BIT TOGGLE</t>
  </si>
  <si>
    <t>BREAK</t>
  </si>
  <si>
    <t>JUMP</t>
  </si>
  <si>
    <t>RETURN</t>
  </si>
  <si>
    <t>CALL</t>
  </si>
  <si>
    <t>immediate value [0:7]</t>
  </si>
  <si>
    <t>register address [0:3]</t>
  </si>
  <si>
    <t>B [0:7]</t>
  </si>
  <si>
    <t>A [0:7]</t>
  </si>
  <si>
    <t>MODE</t>
  </si>
  <si>
    <t>Bit</t>
  </si>
  <si>
    <t>register</t>
  </si>
  <si>
    <t>description</t>
  </si>
  <si>
    <t>b0</t>
  </si>
  <si>
    <t>b1</t>
  </si>
  <si>
    <t>b2</t>
  </si>
  <si>
    <t>b3</t>
  </si>
  <si>
    <t>General purpose register</t>
  </si>
  <si>
    <t>Bits 0..7 of the program counter</t>
  </si>
  <si>
    <t>Bits 8..15 of the program counter</t>
  </si>
  <si>
    <t>OPCODE</t>
  </si>
  <si>
    <t>b4</t>
  </si>
  <si>
    <t>bus values</t>
  </si>
  <si>
    <t>DISABLED</t>
  </si>
  <si>
    <t>LOAD</t>
  </si>
  <si>
    <t>STORE</t>
  </si>
  <si>
    <t>A SHIFT LEFT</t>
  </si>
  <si>
    <t>A SHIFT RIGHT</t>
  </si>
  <si>
    <t>A ROTATE LEFT</t>
  </si>
  <si>
    <t>A ROTATE RIGHT</t>
  </si>
  <si>
    <t>POLL</t>
  </si>
  <si>
    <t>READ</t>
  </si>
  <si>
    <t>WRITE</t>
  </si>
  <si>
    <t>Unit</t>
  </si>
  <si>
    <t>ARITHMETIC</t>
  </si>
  <si>
    <t>SHIFT</t>
  </si>
  <si>
    <t>BITWISE</t>
  </si>
  <si>
    <t>MEMORY</t>
  </si>
  <si>
    <t>STACK</t>
  </si>
  <si>
    <t>IO</t>
  </si>
  <si>
    <t>LOGIC</t>
  </si>
  <si>
    <t>input available</t>
  </si>
  <si>
    <t>last received value</t>
  </si>
  <si>
    <t>UNUSED</t>
  </si>
  <si>
    <t>input</t>
  </si>
  <si>
    <t>result</t>
  </si>
  <si>
    <t>address [0..7]</t>
  </si>
  <si>
    <t>address [8..15]</t>
  </si>
  <si>
    <t>input B</t>
  </si>
  <si>
    <t>input A</t>
  </si>
  <si>
    <t>Calculates the given logical combination of A and B and stores the result</t>
  </si>
  <si>
    <t>mode</t>
  </si>
  <si>
    <t>always</t>
  </si>
  <si>
    <t>never</t>
  </si>
  <si>
    <t>R = 0</t>
  </si>
  <si>
    <t>R != 0</t>
  </si>
  <si>
    <t>R &lt; 0</t>
  </si>
  <si>
    <t>R &gt;= 0</t>
  </si>
  <si>
    <t>R &gt; 0</t>
  </si>
  <si>
    <t>R &lt;= 0</t>
  </si>
  <si>
    <t>Bus</t>
  </si>
  <si>
    <t>OPERATION</t>
  </si>
  <si>
    <t>C</t>
  </si>
  <si>
    <t>OUT</t>
  </si>
  <si>
    <t>value [0..7]</t>
  </si>
  <si>
    <t>active</t>
  </si>
  <si>
    <t>init</t>
  </si>
  <si>
    <t>carry</t>
  </si>
  <si>
    <t>opcode [0:4]</t>
  </si>
  <si>
    <t>EXTRA</t>
  </si>
  <si>
    <t>no write</t>
  </si>
  <si>
    <t>has carry</t>
  </si>
  <si>
    <t>Loads the value at the given address and writes it to the output</t>
  </si>
  <si>
    <t>Stores the given value at the given address</t>
  </si>
  <si>
    <t>OUTPUT ADDRESS [0:2]</t>
  </si>
  <si>
    <t>CONDITION ADDRESS [0:2]</t>
  </si>
  <si>
    <t>CONDITION [0:2]</t>
  </si>
  <si>
    <t>Returns 1 if the given bit of the given value is set otherwise 0. Also 0 if bit ∉ [0..7].</t>
  </si>
  <si>
    <t>Takes the given value, sets the given bit to 1 and return the result. If bit ∉ [0..7] value is returned.</t>
  </si>
  <si>
    <t>Takes the given value, clears the given bit to 0 and returns the result. If bit ∉ [0..7] value is returned.</t>
  </si>
  <si>
    <t>Takes the given value, flips the given bit and returns the result. If bit ∉ [0..7] value is returned.</t>
  </si>
  <si>
    <t>A + B + C_in</t>
  </si>
  <si>
    <t>A - B - (1 - C_in)</t>
  </si>
  <si>
    <t>Performs the given arithmetic operation and returns the result. C_in is the state of the carry flag.
The state of the carry flag is updated after the calculation.</t>
  </si>
  <si>
    <t>Shifts all bits one to the right. Bit 7 is cleared. The previous  content of bit 0 is copied to the carry flag</t>
  </si>
  <si>
    <t>Shifts all bits one to the left. Bit 0 is cleared. The previous content of bit 7 is copied to the carry flag</t>
  </si>
  <si>
    <t>Shifts all bits one to the left. Bit 0 is set to the old carry flag and the carry flag is set to the old bit 7</t>
  </si>
  <si>
    <t>Shifts all bits one to the right. Bit 7 is set to the old carry flag and the carry flag is set to the old bit 0</t>
  </si>
  <si>
    <t>Stores the PC + 1 on the stack and writes the combined 16bit value of A and B on the PC</t>
  </si>
  <si>
    <t>Pops a value from the stack and writes it to the PC</t>
  </si>
  <si>
    <t>Causes the computer to enter a breakpoint.</t>
  </si>
  <si>
    <t>Carry</t>
  </si>
  <si>
    <t>UNCHANGED</t>
  </si>
  <si>
    <t>MODIFIED</t>
  </si>
  <si>
    <t>value [8..15]</t>
  </si>
  <si>
    <t>Writes the combined 16bit value to the PC</t>
  </si>
  <si>
    <t>Writes the value to the output</t>
  </si>
  <si>
    <t>FETCH</t>
  </si>
  <si>
    <t>DECODE</t>
  </si>
  <si>
    <t>EXECUTE</t>
  </si>
  <si>
    <t>INCREMENT</t>
  </si>
  <si>
    <t>Load next instruction at PC</t>
  </si>
  <si>
    <t xml:space="preserve">Set A Immediate value / A address, B immediate value / B address, C address, output address, </t>
  </si>
  <si>
    <t>Increment PC &amp; Buffer Output</t>
  </si>
  <si>
    <t>CONDITION</t>
  </si>
  <si>
    <t>R0</t>
  </si>
  <si>
    <t>R1</t>
  </si>
  <si>
    <t>R2</t>
  </si>
  <si>
    <t>R3</t>
  </si>
  <si>
    <t>R4</t>
  </si>
  <si>
    <t>R5</t>
  </si>
  <si>
    <t>R6</t>
  </si>
  <si>
    <t>R7</t>
  </si>
  <si>
    <t>PC_0</t>
  </si>
  <si>
    <t>PC_1</t>
  </si>
  <si>
    <t>PAGE</t>
  </si>
  <si>
    <t>Bits 8..15 of the memory address</t>
  </si>
  <si>
    <t>COND.</t>
  </si>
  <si>
    <t>program</t>
  </si>
  <si>
    <t>memory</t>
  </si>
  <si>
    <t>Address space</t>
  </si>
  <si>
    <t>…</t>
  </si>
  <si>
    <t>0x0000</t>
  </si>
  <si>
    <t>0x7FFF</t>
  </si>
  <si>
    <t>0x8000</t>
  </si>
  <si>
    <t>0xFFFF</t>
  </si>
  <si>
    <t>PC</t>
  </si>
  <si>
    <t>RAM</t>
  </si>
  <si>
    <t>PM</t>
  </si>
  <si>
    <t>value [0..15]</t>
  </si>
  <si>
    <t>Evaluates the condition</t>
  </si>
  <si>
    <t>STEP</t>
  </si>
  <si>
    <t>Description</t>
  </si>
  <si>
    <t>Set OPCODE If condition is met</t>
  </si>
  <si>
    <t>Write output to selected register if condition is met</t>
  </si>
  <si>
    <t>FREEZE WORD</t>
  </si>
  <si>
    <t>Freeze A Immediate value / A address, B immediate value / B address, OUT address, condition result</t>
  </si>
  <si>
    <t>FREEZE OP</t>
  </si>
  <si>
    <t>Freezes OPCODE, will be set to 0 if condition is false</t>
  </si>
  <si>
    <t>HOLD OUTPUT</t>
  </si>
  <si>
    <t>Freezes register side output bus</t>
  </si>
  <si>
    <t>Stores output to register</t>
  </si>
  <si>
    <t>Returns 1 if a new value is available from UART unit, otherwise returns 0.</t>
  </si>
  <si>
    <t>Copies the value from the UART unit and returns it.</t>
  </si>
  <si>
    <t>Writes the value to the UART unit.</t>
  </si>
  <si>
    <t>Updates PC</t>
  </si>
  <si>
    <t>IO_0</t>
  </si>
  <si>
    <t>IO_1</t>
  </si>
  <si>
    <t>PRE STORE</t>
  </si>
  <si>
    <t>Switch output address to OUT address</t>
  </si>
  <si>
    <t>Net action</t>
  </si>
  <si>
    <t>FREEZE_OP ↑, (FREEZE_WRD ↓)</t>
  </si>
  <si>
    <t>HOLD ↑, PC_SOURCE_INC ↑, (FREEZE_OP ↓)</t>
  </si>
  <si>
    <t>STORE ↑</t>
  </si>
  <si>
    <t>FREEZE_WRD ↑, (STORE ↓)</t>
  </si>
  <si>
    <t>AD_RGSET_OVERRIDE ↑, (HOLD ↓)</t>
  </si>
  <si>
    <t>PC_SOURCE_INC ↓, AD_RGSET_OVERRIDE ↓</t>
  </si>
  <si>
    <t>OVERRIDDEN</t>
  </si>
  <si>
    <t>"""BITWISE"""</t>
  </si>
  <si>
    <t>Decodes Bit 0 - Bit 2 of input, upper bits unused.</t>
  </si>
  <si>
    <t>value [0..2]</t>
  </si>
  <si>
    <t>No action</t>
  </si>
  <si>
    <t>Step Instruction</t>
  </si>
  <si>
    <t>Step Cycle</t>
  </si>
  <si>
    <t>Reset</t>
  </si>
  <si>
    <t>Stopped</t>
  </si>
  <si>
    <t>Running</t>
  </si>
  <si>
    <t>Halted</t>
  </si>
  <si>
    <t>OPERATING STATE</t>
  </si>
  <si>
    <t>undefined</t>
  </si>
  <si>
    <t>BRIDGE   →   SEQUENCER</t>
  </si>
  <si>
    <t>SEQUENCER   →   BRIDGE</t>
  </si>
  <si>
    <t>CYCLE STATE</t>
  </si>
  <si>
    <t>DIRECTION</t>
  </si>
  <si>
    <t>BIT</t>
  </si>
  <si>
    <t>SEQUENCER COMMAND</t>
  </si>
  <si>
    <t>INDEX</t>
  </si>
  <si>
    <t>Continue</t>
  </si>
  <si>
    <t>RESPOND (1 = send packet to bridge)</t>
  </si>
  <si>
    <t>ENABLE (0 = STOP, 1 = RUNNING)</t>
  </si>
  <si>
    <t>reason</t>
  </si>
  <si>
    <t>STPTR_0</t>
  </si>
  <si>
    <t>STPTR_1</t>
  </si>
  <si>
    <t>STPTR</t>
  </si>
  <si>
    <t xml:space="preserve">Bits 8..15 of the Stack Pointer </t>
  </si>
  <si>
    <t xml:space="preserve">Bits 0..7 of the Stack Pointer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</si>
</sst>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4F8BA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4" xfId="0" applyFill="1" applyBorder="1"/>
    <xf numFmtId="0" fontId="0" fillId="4" borderId="4" xfId="0" applyFill="1" applyBorder="1"/>
    <xf numFmtId="0" fontId="0" fillId="7" borderId="1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/>
    </xf>
    <xf numFmtId="0" fontId="0" fillId="9" borderId="10" xfId="0" applyFill="1" applyBorder="1"/>
    <xf numFmtId="0" fontId="0" fillId="9" borderId="28" xfId="0" applyFill="1" applyBorder="1" applyAlignment="1">
      <alignment horizontal="center"/>
    </xf>
    <xf numFmtId="0" fontId="0" fillId="9" borderId="27" xfId="0" applyFill="1" applyBorder="1"/>
    <xf numFmtId="0" fontId="0" fillId="9" borderId="32" xfId="0" applyFill="1" applyBorder="1" applyAlignment="1">
      <alignment horizontal="center"/>
    </xf>
    <xf numFmtId="0" fontId="0" fillId="9" borderId="31" xfId="0" applyFill="1" applyBorder="1"/>
    <xf numFmtId="0" fontId="0" fillId="2" borderId="27" xfId="0" applyFill="1" applyBorder="1"/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/>
    <xf numFmtId="0" fontId="0" fillId="9" borderId="10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1" xfId="0" applyFill="1" applyBorder="1"/>
    <xf numFmtId="0" fontId="0" fillId="9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/>
    <xf numFmtId="0" fontId="0" fillId="9" borderId="4" xfId="0" applyFill="1" applyBorder="1" applyAlignment="1">
      <alignment horizontal="center" vertical="center"/>
    </xf>
    <xf numFmtId="0" fontId="0" fillId="9" borderId="4" xfId="0" applyFill="1" applyBorder="1"/>
    <xf numFmtId="0" fontId="0" fillId="2" borderId="1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0" fillId="8" borderId="34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24" xfId="0" applyFill="1" applyBorder="1"/>
    <xf numFmtId="0" fontId="0" fillId="9" borderId="19" xfId="0" applyFill="1" applyBorder="1"/>
    <xf numFmtId="0" fontId="0" fillId="8" borderId="51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1" xfId="0" applyFill="1" applyBorder="1"/>
    <xf numFmtId="0" fontId="0" fillId="10" borderId="9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4" xfId="0" applyFill="1" applyBorder="1"/>
    <xf numFmtId="0" fontId="0" fillId="8" borderId="6" xfId="0" applyFill="1" applyBorder="1" applyAlignment="1">
      <alignment horizontal="center"/>
    </xf>
    <xf numFmtId="0" fontId="0" fillId="9" borderId="8" xfId="0" applyFill="1" applyBorder="1"/>
    <xf numFmtId="0" fontId="0" fillId="2" borderId="14" xfId="0" applyFill="1" applyBorder="1"/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7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10" borderId="15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39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8" borderId="58" xfId="0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2" borderId="56" xfId="0" applyFill="1" applyBorder="1" applyAlignment="1">
      <alignment vertical="center"/>
    </xf>
    <xf numFmtId="0" fontId="0" fillId="9" borderId="36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8" xfId="0" applyFill="1" applyBorder="1"/>
    <xf numFmtId="0" fontId="0" fillId="2" borderId="60" xfId="0" applyFill="1" applyBorder="1"/>
    <xf numFmtId="0" fontId="0" fillId="2" borderId="62" xfId="0" applyFill="1" applyBorder="1"/>
    <xf numFmtId="0" fontId="0" fillId="2" borderId="0" xfId="0" applyFill="1"/>
    <xf numFmtId="0" fontId="0" fillId="7" borderId="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/>
    </xf>
    <xf numFmtId="0" fontId="0" fillId="8" borderId="63" xfId="0" applyFill="1" applyBorder="1" applyAlignment="1">
      <alignment horizontal="center"/>
    </xf>
    <xf numFmtId="0" fontId="0" fillId="9" borderId="63" xfId="0" applyFill="1" applyBorder="1"/>
    <xf numFmtId="0" fontId="0" fillId="10" borderId="33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2" borderId="6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5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0" fillId="10" borderId="35" xfId="0" applyFill="1" applyBorder="1" applyAlignment="1">
      <alignment vertical="center"/>
    </xf>
    <xf numFmtId="0" fontId="0" fillId="10" borderId="20" xfId="0" applyFill="1" applyBorder="1" applyAlignment="1">
      <alignment vertical="center"/>
    </xf>
    <xf numFmtId="0" fontId="0" fillId="10" borderId="45" xfId="0" applyFill="1" applyBorder="1" applyAlignment="1">
      <alignment vertical="center"/>
    </xf>
    <xf numFmtId="0" fontId="0" fillId="10" borderId="46" xfId="0" applyFill="1" applyBorder="1" applyAlignment="1">
      <alignment vertical="center"/>
    </xf>
    <xf numFmtId="0" fontId="0" fillId="12" borderId="19" xfId="0" applyFill="1" applyBorder="1" applyAlignment="1">
      <alignment vertical="center"/>
    </xf>
    <xf numFmtId="0" fontId="0" fillId="12" borderId="19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63" xfId="0" applyFill="1" applyBorder="1" applyAlignment="1">
      <alignment horizontal="center" vertical="center"/>
    </xf>
    <xf numFmtId="0" fontId="0" fillId="10" borderId="65" xfId="0" applyFill="1" applyBorder="1" applyAlignment="1">
      <alignment horizontal="center" vertical="center"/>
    </xf>
    <xf numFmtId="0" fontId="0" fillId="10" borderId="58" xfId="0" applyFill="1" applyBorder="1" applyAlignment="1">
      <alignment horizontal="center" vertical="center"/>
    </xf>
    <xf numFmtId="0" fontId="0" fillId="9" borderId="50" xfId="0" applyFill="1" applyBorder="1"/>
    <xf numFmtId="0" fontId="0" fillId="10" borderId="63" xfId="0" applyFill="1" applyBorder="1" applyAlignment="1">
      <alignment horizontal="center" vertical="center"/>
    </xf>
    <xf numFmtId="0" fontId="0" fillId="10" borderId="18" xfId="0" applyFill="1" applyBorder="1"/>
    <xf numFmtId="0" fontId="0" fillId="9" borderId="18" xfId="0" applyFill="1" applyBorder="1"/>
    <xf numFmtId="0" fontId="2" fillId="7" borderId="33" xfId="0" applyFont="1" applyFill="1" applyBorder="1" applyAlignment="1">
      <alignment horizontal="center" vertical="center"/>
    </xf>
    <xf numFmtId="0" fontId="2" fillId="7" borderId="5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10" borderId="10" xfId="0" applyFill="1" applyBorder="1"/>
    <xf numFmtId="0" fontId="0" fillId="9" borderId="68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0" fillId="9" borderId="41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0" borderId="64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39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9" borderId="48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textRotation="180"/>
    </xf>
    <xf numFmtId="0" fontId="0" fillId="8" borderId="10" xfId="0" applyFill="1" applyBorder="1" applyAlignment="1">
      <alignment horizontal="center" vertical="center" textRotation="180"/>
    </xf>
    <xf numFmtId="0" fontId="0" fillId="8" borderId="14" xfId="0" applyFill="1" applyBorder="1" applyAlignment="1">
      <alignment horizontal="center" vertical="center" textRotation="180"/>
    </xf>
    <xf numFmtId="0" fontId="0" fillId="5" borderId="8" xfId="0" applyFill="1" applyBorder="1" applyAlignment="1">
      <alignment horizontal="center" vertical="center" textRotation="180"/>
    </xf>
    <xf numFmtId="0" fontId="0" fillId="5" borderId="10" xfId="0" applyFill="1" applyBorder="1" applyAlignment="1">
      <alignment horizontal="center" vertical="center" textRotation="180"/>
    </xf>
    <xf numFmtId="0" fontId="0" fillId="5" borderId="14" xfId="0" applyFill="1" applyBorder="1" applyAlignment="1">
      <alignment horizontal="center" vertical="center" textRotation="180"/>
    </xf>
    <xf numFmtId="0" fontId="2" fillId="7" borderId="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9" borderId="64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4F8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0110-9AA6-4607-84AE-181659F51D05}">
  <dimension ref="B1:J19"/>
  <sheetViews>
    <sheetView tabSelected="1" workbookViewId="0">
      <selection activeCell="I24" sqref="I24"/>
    </sheetView>
  </sheetViews>
  <sheetFormatPr baseColWidth="10" defaultColWidth="9" defaultRowHeight="14.25" x14ac:dyDescent="0.45"/>
  <cols>
    <col min="3" max="6" width="4.73046875" style="1" customWidth="1"/>
    <col min="7" max="9" width="9.1328125" customWidth="1"/>
    <col min="10" max="10" width="34.265625" customWidth="1"/>
  </cols>
  <sheetData>
    <row r="1" spans="2:10" ht="14.65" thickBot="1" x14ac:dyDescent="0.5"/>
    <row r="2" spans="2:10" x14ac:dyDescent="0.45">
      <c r="B2" s="193" t="s">
        <v>15</v>
      </c>
      <c r="C2" s="194"/>
      <c r="D2" s="194"/>
      <c r="E2" s="194"/>
      <c r="F2" s="195"/>
      <c r="G2" s="198" t="s">
        <v>32</v>
      </c>
      <c r="H2" s="199"/>
      <c r="I2" s="200"/>
      <c r="J2" s="196" t="s">
        <v>33</v>
      </c>
    </row>
    <row r="3" spans="2:10" ht="14.65" thickBot="1" x14ac:dyDescent="0.5">
      <c r="B3" s="56" t="s">
        <v>16</v>
      </c>
      <c r="C3" s="51" t="s">
        <v>37</v>
      </c>
      <c r="D3" s="49" t="s">
        <v>36</v>
      </c>
      <c r="E3" s="49" t="s">
        <v>35</v>
      </c>
      <c r="F3" s="50" t="s">
        <v>34</v>
      </c>
      <c r="G3" s="117" t="s">
        <v>52</v>
      </c>
      <c r="H3" s="52" t="s">
        <v>53</v>
      </c>
      <c r="I3" s="50" t="s">
        <v>138</v>
      </c>
      <c r="J3" s="197"/>
    </row>
    <row r="4" spans="2:10" x14ac:dyDescent="0.45">
      <c r="B4" s="106">
        <v>0</v>
      </c>
      <c r="C4" s="57">
        <f>_xlfn.BITAND(_xlfn.BITRSHIFT($B4,3),1)</f>
        <v>0</v>
      </c>
      <c r="D4" s="35">
        <f>_xlfn.BITAND(_xlfn.BITRSHIFT($B4,2),1)</f>
        <v>0</v>
      </c>
      <c r="E4" s="35">
        <f>_xlfn.BITAND(_xlfn.BITRSHIFT($B4,1),1)</f>
        <v>0</v>
      </c>
      <c r="F4" s="58">
        <f>_xlfn.BITAND(_xlfn.BITRSHIFT($B4,0),1)</f>
        <v>0</v>
      </c>
      <c r="G4" s="118" t="s">
        <v>126</v>
      </c>
      <c r="H4" s="124" t="s">
        <v>126</v>
      </c>
      <c r="I4" s="109" t="s">
        <v>126</v>
      </c>
      <c r="J4" s="107" t="s">
        <v>38</v>
      </c>
    </row>
    <row r="5" spans="2:10" x14ac:dyDescent="0.45">
      <c r="B5" s="13">
        <v>1</v>
      </c>
      <c r="C5" s="59">
        <f t="shared" ref="C5:C19" si="0">_xlfn.BITAND(_xlfn.BITRSHIFT($B5,3),1)</f>
        <v>0</v>
      </c>
      <c r="D5" s="14">
        <f t="shared" ref="D5:D19" si="1">_xlfn.BITAND(_xlfn.BITRSHIFT($B5,2),1)</f>
        <v>0</v>
      </c>
      <c r="E5" s="14">
        <f t="shared" ref="E5:E19" si="2">_xlfn.BITAND(_xlfn.BITRSHIFT($B5,1),1)</f>
        <v>0</v>
      </c>
      <c r="F5" s="15">
        <f t="shared" ref="F5:F19" si="3">_xlfn.BITAND(_xlfn.BITRSHIFT($B5,0),1)</f>
        <v>1</v>
      </c>
      <c r="G5" s="119" t="s">
        <v>127</v>
      </c>
      <c r="H5" s="125" t="s">
        <v>127</v>
      </c>
      <c r="I5" s="110" t="s">
        <v>127</v>
      </c>
      <c r="J5" s="26" t="s">
        <v>38</v>
      </c>
    </row>
    <row r="6" spans="2:10" x14ac:dyDescent="0.45">
      <c r="B6" s="19">
        <v>2</v>
      </c>
      <c r="C6" s="76">
        <f t="shared" si="0"/>
        <v>0</v>
      </c>
      <c r="D6" s="20">
        <f t="shared" si="1"/>
        <v>0</v>
      </c>
      <c r="E6" s="20">
        <f t="shared" si="2"/>
        <v>1</v>
      </c>
      <c r="F6" s="21">
        <f t="shared" si="3"/>
        <v>0</v>
      </c>
      <c r="G6" s="120" t="s">
        <v>128</v>
      </c>
      <c r="H6" s="126" t="s">
        <v>128</v>
      </c>
      <c r="I6" s="111" t="s">
        <v>128</v>
      </c>
      <c r="J6" s="28" t="s">
        <v>38</v>
      </c>
    </row>
    <row r="7" spans="2:10" x14ac:dyDescent="0.45">
      <c r="B7" s="22">
        <v>3</v>
      </c>
      <c r="C7" s="77">
        <f t="shared" si="0"/>
        <v>0</v>
      </c>
      <c r="D7" s="23">
        <f t="shared" si="1"/>
        <v>0</v>
      </c>
      <c r="E7" s="23">
        <f t="shared" si="2"/>
        <v>1</v>
      </c>
      <c r="F7" s="24">
        <f t="shared" si="3"/>
        <v>1</v>
      </c>
      <c r="G7" s="121" t="s">
        <v>129</v>
      </c>
      <c r="H7" s="127" t="s">
        <v>129</v>
      </c>
      <c r="I7" s="112" t="s">
        <v>129</v>
      </c>
      <c r="J7" s="30" t="s">
        <v>38</v>
      </c>
    </row>
    <row r="8" spans="2:10" x14ac:dyDescent="0.45">
      <c r="B8" s="13">
        <v>4</v>
      </c>
      <c r="C8" s="59">
        <f t="shared" si="0"/>
        <v>0</v>
      </c>
      <c r="D8" s="14">
        <f t="shared" si="1"/>
        <v>1</v>
      </c>
      <c r="E8" s="14">
        <f t="shared" si="2"/>
        <v>0</v>
      </c>
      <c r="F8" s="15">
        <f t="shared" si="3"/>
        <v>0</v>
      </c>
      <c r="G8" s="119" t="s">
        <v>130</v>
      </c>
      <c r="H8" s="125" t="s">
        <v>130</v>
      </c>
      <c r="I8" s="110" t="s">
        <v>130</v>
      </c>
      <c r="J8" s="26" t="s">
        <v>38</v>
      </c>
    </row>
    <row r="9" spans="2:10" x14ac:dyDescent="0.45">
      <c r="B9" s="13">
        <v>5</v>
      </c>
      <c r="C9" s="59">
        <f t="shared" si="0"/>
        <v>0</v>
      </c>
      <c r="D9" s="14">
        <f t="shared" si="1"/>
        <v>1</v>
      </c>
      <c r="E9" s="14">
        <f t="shared" si="2"/>
        <v>0</v>
      </c>
      <c r="F9" s="15">
        <f t="shared" si="3"/>
        <v>1</v>
      </c>
      <c r="G9" s="119" t="s">
        <v>131</v>
      </c>
      <c r="H9" s="125" t="s">
        <v>131</v>
      </c>
      <c r="I9" s="110" t="s">
        <v>131</v>
      </c>
      <c r="J9" s="26" t="s">
        <v>38</v>
      </c>
    </row>
    <row r="10" spans="2:10" x14ac:dyDescent="0.45">
      <c r="B10" s="19">
        <v>6</v>
      </c>
      <c r="C10" s="76">
        <f t="shared" si="0"/>
        <v>0</v>
      </c>
      <c r="D10" s="20">
        <f t="shared" si="1"/>
        <v>1</v>
      </c>
      <c r="E10" s="20">
        <f t="shared" si="2"/>
        <v>1</v>
      </c>
      <c r="F10" s="21">
        <f t="shared" si="3"/>
        <v>0</v>
      </c>
      <c r="G10" s="120" t="s">
        <v>132</v>
      </c>
      <c r="H10" s="126" t="s">
        <v>132</v>
      </c>
      <c r="I10" s="111" t="s">
        <v>132</v>
      </c>
      <c r="J10" s="28" t="s">
        <v>38</v>
      </c>
    </row>
    <row r="11" spans="2:10" x14ac:dyDescent="0.45">
      <c r="B11" s="22">
        <v>7</v>
      </c>
      <c r="C11" s="77">
        <f t="shared" si="0"/>
        <v>0</v>
      </c>
      <c r="D11" s="23">
        <f t="shared" si="1"/>
        <v>1</v>
      </c>
      <c r="E11" s="23">
        <f t="shared" si="2"/>
        <v>1</v>
      </c>
      <c r="F11" s="24">
        <f t="shared" si="3"/>
        <v>1</v>
      </c>
      <c r="G11" s="121" t="s">
        <v>133</v>
      </c>
      <c r="H11" s="127" t="s">
        <v>133</v>
      </c>
      <c r="I11" s="112" t="s">
        <v>133</v>
      </c>
      <c r="J11" s="30" t="s">
        <v>38</v>
      </c>
    </row>
    <row r="12" spans="2:10" x14ac:dyDescent="0.45">
      <c r="B12" s="13">
        <v>8</v>
      </c>
      <c r="C12" s="59">
        <f>_xlfn.BITAND(_xlfn.BITRSHIFT($B12,3),1)</f>
        <v>1</v>
      </c>
      <c r="D12" s="14">
        <f t="shared" si="1"/>
        <v>0</v>
      </c>
      <c r="E12" s="14">
        <f t="shared" si="2"/>
        <v>0</v>
      </c>
      <c r="F12" s="15">
        <f t="shared" si="3"/>
        <v>0</v>
      </c>
      <c r="G12" s="120" t="s">
        <v>134</v>
      </c>
      <c r="H12" s="148" t="s">
        <v>147</v>
      </c>
      <c r="I12" s="115"/>
      <c r="J12" s="28" t="s">
        <v>39</v>
      </c>
    </row>
    <row r="13" spans="2:10" x14ac:dyDescent="0.45">
      <c r="B13" s="13">
        <v>9</v>
      </c>
      <c r="C13" s="59">
        <f t="shared" si="0"/>
        <v>1</v>
      </c>
      <c r="D13" s="14">
        <f t="shared" si="1"/>
        <v>0</v>
      </c>
      <c r="E13" s="14">
        <f t="shared" si="2"/>
        <v>0</v>
      </c>
      <c r="F13" s="15">
        <f t="shared" si="3"/>
        <v>1</v>
      </c>
      <c r="G13" s="119" t="s">
        <v>135</v>
      </c>
      <c r="H13" s="149"/>
      <c r="I13" s="114"/>
      <c r="J13" s="26" t="s">
        <v>40</v>
      </c>
    </row>
    <row r="14" spans="2:10" x14ac:dyDescent="0.45">
      <c r="B14" s="19">
        <v>10</v>
      </c>
      <c r="C14" s="76">
        <f t="shared" si="0"/>
        <v>1</v>
      </c>
      <c r="D14" s="20">
        <f t="shared" si="1"/>
        <v>0</v>
      </c>
      <c r="E14" s="20">
        <f t="shared" si="2"/>
        <v>1</v>
      </c>
      <c r="F14" s="21">
        <f t="shared" si="3"/>
        <v>0</v>
      </c>
      <c r="G14" s="122"/>
      <c r="H14" s="148" t="s">
        <v>136</v>
      </c>
      <c r="I14" s="115"/>
      <c r="J14" s="31"/>
    </row>
    <row r="15" spans="2:10" x14ac:dyDescent="0.45">
      <c r="B15" s="22">
        <v>11</v>
      </c>
      <c r="C15" s="77">
        <f t="shared" si="0"/>
        <v>1</v>
      </c>
      <c r="D15" s="23">
        <f t="shared" si="1"/>
        <v>0</v>
      </c>
      <c r="E15" s="23">
        <f t="shared" si="2"/>
        <v>1</v>
      </c>
      <c r="F15" s="24">
        <f t="shared" si="3"/>
        <v>1</v>
      </c>
      <c r="G15" s="121" t="s">
        <v>136</v>
      </c>
      <c r="H15" s="149"/>
      <c r="I15" s="113"/>
      <c r="J15" s="30" t="s">
        <v>137</v>
      </c>
    </row>
    <row r="16" spans="2:10" x14ac:dyDescent="0.45">
      <c r="B16" s="13">
        <v>12</v>
      </c>
      <c r="C16" s="59">
        <f t="shared" si="0"/>
        <v>1</v>
      </c>
      <c r="D16" s="14">
        <f t="shared" si="1"/>
        <v>1</v>
      </c>
      <c r="E16" s="14">
        <f t="shared" si="2"/>
        <v>0</v>
      </c>
      <c r="F16" s="15">
        <f t="shared" si="3"/>
        <v>0</v>
      </c>
      <c r="G16" s="119" t="s">
        <v>202</v>
      </c>
      <c r="H16" s="192" t="s">
        <v>204</v>
      </c>
      <c r="I16" s="114"/>
      <c r="J16" s="26" t="s">
        <v>206</v>
      </c>
    </row>
    <row r="17" spans="2:10" x14ac:dyDescent="0.45">
      <c r="B17" s="13">
        <v>13</v>
      </c>
      <c r="C17" s="59">
        <f t="shared" si="0"/>
        <v>1</v>
      </c>
      <c r="D17" s="14">
        <f t="shared" si="1"/>
        <v>1</v>
      </c>
      <c r="E17" s="14">
        <f t="shared" si="2"/>
        <v>0</v>
      </c>
      <c r="F17" s="15">
        <f t="shared" si="3"/>
        <v>1</v>
      </c>
      <c r="G17" s="119" t="s">
        <v>203</v>
      </c>
      <c r="H17" s="129"/>
      <c r="I17" s="114"/>
      <c r="J17" s="26" t="s">
        <v>205</v>
      </c>
    </row>
    <row r="18" spans="2:10" x14ac:dyDescent="0.45">
      <c r="B18" s="19">
        <v>14</v>
      </c>
      <c r="C18" s="76">
        <f t="shared" si="0"/>
        <v>1</v>
      </c>
      <c r="D18" s="20">
        <f t="shared" si="1"/>
        <v>1</v>
      </c>
      <c r="E18" s="20">
        <f t="shared" si="2"/>
        <v>1</v>
      </c>
      <c r="F18" s="21">
        <f t="shared" si="3"/>
        <v>0</v>
      </c>
      <c r="G18" s="122"/>
      <c r="H18" s="128"/>
      <c r="I18" s="115"/>
      <c r="J18" s="31"/>
    </row>
    <row r="19" spans="2:10" ht="14.65" thickBot="1" x14ac:dyDescent="0.5">
      <c r="B19" s="16">
        <v>15</v>
      </c>
      <c r="C19" s="60">
        <f t="shared" si="0"/>
        <v>1</v>
      </c>
      <c r="D19" s="17">
        <f t="shared" si="1"/>
        <v>1</v>
      </c>
      <c r="E19" s="17">
        <f t="shared" si="2"/>
        <v>1</v>
      </c>
      <c r="F19" s="18">
        <f t="shared" si="3"/>
        <v>1</v>
      </c>
      <c r="G19" s="123"/>
      <c r="H19" s="130"/>
      <c r="I19" s="116"/>
      <c r="J19" s="108"/>
    </row>
  </sheetData>
  <mergeCells count="3">
    <mergeCell ref="B2:F2"/>
    <mergeCell ref="J2:J3"/>
    <mergeCell ref="G2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A35C-77D4-4A92-BE06-765002DB2402}">
  <dimension ref="B1:AH8"/>
  <sheetViews>
    <sheetView topLeftCell="B1" workbookViewId="0">
      <selection activeCell="N3" sqref="N3:P3"/>
    </sheetView>
  </sheetViews>
  <sheetFormatPr baseColWidth="10" defaultColWidth="9" defaultRowHeight="14.25" x14ac:dyDescent="0.45"/>
  <cols>
    <col min="3" max="34" width="7.73046875" customWidth="1"/>
  </cols>
  <sheetData>
    <row r="1" spans="2:34" ht="14.65" thickBot="1" x14ac:dyDescent="0.5"/>
    <row r="2" spans="2:34" ht="14.65" thickBot="1" x14ac:dyDescent="0.5">
      <c r="C2" s="2">
        <v>31</v>
      </c>
      <c r="D2" s="4">
        <v>30</v>
      </c>
      <c r="E2" s="4">
        <v>29</v>
      </c>
      <c r="F2" s="4">
        <v>28</v>
      </c>
      <c r="G2" s="4">
        <v>27</v>
      </c>
      <c r="H2" s="4">
        <v>26</v>
      </c>
      <c r="I2" s="4">
        <v>25</v>
      </c>
      <c r="J2" s="4">
        <v>24</v>
      </c>
      <c r="K2" s="4">
        <v>23</v>
      </c>
      <c r="L2" s="4">
        <v>22</v>
      </c>
      <c r="M2" s="4">
        <v>21</v>
      </c>
      <c r="N2" s="4">
        <v>20</v>
      </c>
      <c r="O2" s="4">
        <v>19</v>
      </c>
      <c r="P2" s="4">
        <v>18</v>
      </c>
      <c r="Q2" s="4">
        <v>17</v>
      </c>
      <c r="R2" s="4">
        <v>16</v>
      </c>
      <c r="S2" s="4">
        <v>15</v>
      </c>
      <c r="T2" s="4">
        <v>14</v>
      </c>
      <c r="U2" s="4">
        <v>13</v>
      </c>
      <c r="V2" s="4">
        <v>12</v>
      </c>
      <c r="W2" s="4">
        <v>11</v>
      </c>
      <c r="X2" s="4">
        <v>10</v>
      </c>
      <c r="Y2" s="4">
        <v>9</v>
      </c>
      <c r="Z2" s="4">
        <v>8</v>
      </c>
      <c r="AA2" s="4">
        <v>7</v>
      </c>
      <c r="AB2" s="4">
        <v>6</v>
      </c>
      <c r="AC2" s="4">
        <v>5</v>
      </c>
      <c r="AD2" s="4">
        <v>4</v>
      </c>
      <c r="AE2" s="4">
        <v>3</v>
      </c>
      <c r="AF2" s="4">
        <v>2</v>
      </c>
      <c r="AG2" s="4">
        <v>1</v>
      </c>
      <c r="AH2" s="3">
        <v>0</v>
      </c>
    </row>
    <row r="3" spans="2:34" ht="14.65" thickBot="1" x14ac:dyDescent="0.5">
      <c r="C3" s="210" t="s">
        <v>4</v>
      </c>
      <c r="D3" s="211"/>
      <c r="E3" s="211"/>
      <c r="F3" s="211"/>
      <c r="G3" s="212"/>
      <c r="H3" s="207" t="s">
        <v>97</v>
      </c>
      <c r="I3" s="208"/>
      <c r="J3" s="209"/>
      <c r="K3" s="207" t="s">
        <v>96</v>
      </c>
      <c r="L3" s="208"/>
      <c r="M3" s="208"/>
      <c r="N3" s="219" t="s">
        <v>95</v>
      </c>
      <c r="O3" s="220"/>
      <c r="P3" s="221"/>
      <c r="Q3" s="11" t="s">
        <v>0</v>
      </c>
      <c r="R3" s="10" t="s">
        <v>1</v>
      </c>
      <c r="S3" s="213" t="s">
        <v>28</v>
      </c>
      <c r="T3" s="214"/>
      <c r="U3" s="214"/>
      <c r="V3" s="214"/>
      <c r="W3" s="214"/>
      <c r="X3" s="214"/>
      <c r="Y3" s="214"/>
      <c r="Z3" s="215"/>
      <c r="AA3" s="216" t="s">
        <v>29</v>
      </c>
      <c r="AB3" s="217"/>
      <c r="AC3" s="217"/>
      <c r="AD3" s="217"/>
      <c r="AE3" s="217"/>
      <c r="AF3" s="217"/>
      <c r="AG3" s="217"/>
      <c r="AH3" s="218"/>
    </row>
    <row r="4" spans="2:34" ht="14.65" thickBot="1" x14ac:dyDescent="0.5"/>
    <row r="5" spans="2:34" x14ac:dyDescent="0.45">
      <c r="B5" s="224" t="s">
        <v>30</v>
      </c>
      <c r="C5" s="222" t="s">
        <v>31</v>
      </c>
      <c r="D5" s="222"/>
      <c r="E5" s="222"/>
      <c r="F5" s="222"/>
      <c r="G5" s="222"/>
      <c r="H5" s="222"/>
      <c r="I5" s="222"/>
      <c r="J5" s="223"/>
    </row>
    <row r="6" spans="2:34" ht="14.65" thickBot="1" x14ac:dyDescent="0.5">
      <c r="B6" s="225"/>
      <c r="C6" s="7">
        <v>7</v>
      </c>
      <c r="D6" s="7">
        <v>6</v>
      </c>
      <c r="E6" s="7">
        <v>5</v>
      </c>
      <c r="F6" s="7">
        <v>4</v>
      </c>
      <c r="G6" s="7">
        <v>3</v>
      </c>
      <c r="H6" s="7">
        <v>2</v>
      </c>
      <c r="I6" s="7">
        <v>1</v>
      </c>
      <c r="J6" s="5">
        <v>0</v>
      </c>
    </row>
    <row r="7" spans="2:34" x14ac:dyDescent="0.45">
      <c r="B7" s="9">
        <v>0</v>
      </c>
      <c r="C7" s="201" t="s">
        <v>26</v>
      </c>
      <c r="D7" s="202"/>
      <c r="E7" s="202"/>
      <c r="F7" s="202"/>
      <c r="G7" s="202"/>
      <c r="H7" s="202"/>
      <c r="I7" s="202"/>
      <c r="J7" s="203"/>
    </row>
    <row r="8" spans="2:34" ht="14.65" thickBot="1" x14ac:dyDescent="0.5">
      <c r="B8" s="6">
        <v>1</v>
      </c>
      <c r="C8" s="8"/>
      <c r="D8" s="8"/>
      <c r="E8" s="8"/>
      <c r="F8" s="8"/>
      <c r="G8" s="204" t="s">
        <v>27</v>
      </c>
      <c r="H8" s="205"/>
      <c r="I8" s="205"/>
      <c r="J8" s="206"/>
    </row>
  </sheetData>
  <mergeCells count="10">
    <mergeCell ref="S3:Z3"/>
    <mergeCell ref="AA3:AH3"/>
    <mergeCell ref="N3:P3"/>
    <mergeCell ref="C5:J5"/>
    <mergeCell ref="B5:B6"/>
    <mergeCell ref="C7:J7"/>
    <mergeCell ref="G8:J8"/>
    <mergeCell ref="K3:M3"/>
    <mergeCell ref="H3:J3"/>
    <mergeCell ref="C3:G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0B11-9266-4E5E-A2B3-3496A1A10C3B}">
  <dimension ref="B1:Q35"/>
  <sheetViews>
    <sheetView workbookViewId="0">
      <selection activeCell="J31" sqref="I2:L31"/>
    </sheetView>
  </sheetViews>
  <sheetFormatPr baseColWidth="10" defaultColWidth="9" defaultRowHeight="14.25" x14ac:dyDescent="0.45"/>
  <cols>
    <col min="2" max="2" width="9.1328125" style="1"/>
    <col min="3" max="7" width="4.73046875" style="1" customWidth="1"/>
    <col min="8" max="8" width="14.265625" style="1" customWidth="1"/>
    <col min="9" max="9" width="16.73046875" style="1" customWidth="1"/>
    <col min="10" max="12" width="20.73046875" customWidth="1"/>
    <col min="13" max="13" width="14" customWidth="1"/>
    <col min="14" max="14" width="90.265625" customWidth="1"/>
  </cols>
  <sheetData>
    <row r="1" spans="2:14" ht="14.65" thickBot="1" x14ac:dyDescent="0.5"/>
    <row r="2" spans="2:14" x14ac:dyDescent="0.45">
      <c r="B2" s="226" t="s">
        <v>41</v>
      </c>
      <c r="C2" s="227"/>
      <c r="D2" s="227"/>
      <c r="E2" s="227"/>
      <c r="F2" s="227"/>
      <c r="G2" s="228"/>
      <c r="H2" s="196" t="s">
        <v>54</v>
      </c>
      <c r="I2" s="196" t="s">
        <v>5</v>
      </c>
      <c r="J2" s="226" t="s">
        <v>43</v>
      </c>
      <c r="K2" s="227"/>
      <c r="L2" s="227"/>
      <c r="M2" s="196" t="s">
        <v>112</v>
      </c>
      <c r="N2" s="196" t="s">
        <v>33</v>
      </c>
    </row>
    <row r="3" spans="2:14" ht="14.65" thickBot="1" x14ac:dyDescent="0.5">
      <c r="B3" s="84" t="s">
        <v>16</v>
      </c>
      <c r="C3" s="49" t="s">
        <v>42</v>
      </c>
      <c r="D3" s="49" t="s">
        <v>37</v>
      </c>
      <c r="E3" s="49" t="s">
        <v>36</v>
      </c>
      <c r="F3" s="49" t="s">
        <v>35</v>
      </c>
      <c r="G3" s="50" t="s">
        <v>34</v>
      </c>
      <c r="H3" s="197"/>
      <c r="I3" s="197"/>
      <c r="J3" s="48" t="s">
        <v>3</v>
      </c>
      <c r="K3" s="52" t="s">
        <v>2</v>
      </c>
      <c r="L3" s="51" t="s">
        <v>6</v>
      </c>
      <c r="M3" s="197"/>
      <c r="N3" s="197"/>
    </row>
    <row r="4" spans="2:14" x14ac:dyDescent="0.45">
      <c r="B4" s="80">
        <v>0</v>
      </c>
      <c r="C4" s="35">
        <f>_xlfn.BITAND(_xlfn.BITRSHIFT($B4,4),1)</f>
        <v>0</v>
      </c>
      <c r="D4" s="35">
        <f>_xlfn.BITAND(_xlfn.BITRSHIFT($B4,3),1)</f>
        <v>0</v>
      </c>
      <c r="E4" s="35">
        <f>_xlfn.BITAND(_xlfn.BITRSHIFT($B4,2),1)</f>
        <v>0</v>
      </c>
      <c r="F4" s="35">
        <f>_xlfn.BITAND(_xlfn.BITRSHIFT($B4,1),1)</f>
        <v>0</v>
      </c>
      <c r="G4" s="78">
        <f>_xlfn.BITAND($B4,1)</f>
        <v>0</v>
      </c>
      <c r="H4" s="229" t="s">
        <v>45</v>
      </c>
      <c r="I4" s="67" t="s">
        <v>23</v>
      </c>
      <c r="J4" s="66" t="s">
        <v>85</v>
      </c>
      <c r="K4" s="66" t="s">
        <v>115</v>
      </c>
      <c r="L4" s="69" t="s">
        <v>44</v>
      </c>
      <c r="M4" s="69" t="s">
        <v>113</v>
      </c>
      <c r="N4" s="75" t="s">
        <v>116</v>
      </c>
    </row>
    <row r="5" spans="2:14" ht="14.65" thickBot="1" x14ac:dyDescent="0.5">
      <c r="B5" s="82">
        <v>1</v>
      </c>
      <c r="C5" s="17">
        <f>_xlfn.BITAND(_xlfn.BITRSHIFT($B5,4),1)</f>
        <v>0</v>
      </c>
      <c r="D5" s="17">
        <f>_xlfn.BITAND(_xlfn.BITRSHIFT($B5,3),1)</f>
        <v>0</v>
      </c>
      <c r="E5" s="17">
        <f>_xlfn.BITAND(_xlfn.BITRSHIFT($B5,2),1)</f>
        <v>0</v>
      </c>
      <c r="F5" s="17">
        <f>_xlfn.BITAND(_xlfn.BITRSHIFT($B5,1),1)</f>
        <v>0</v>
      </c>
      <c r="G5" s="79">
        <f t="shared" ref="G5:G35" si="0">_xlfn.BITAND($B5,1)</f>
        <v>1</v>
      </c>
      <c r="H5" s="230"/>
      <c r="I5" s="42" t="s">
        <v>3</v>
      </c>
      <c r="J5" s="62" t="s">
        <v>16</v>
      </c>
      <c r="K5" s="54" t="s">
        <v>64</v>
      </c>
      <c r="L5" s="63" t="s">
        <v>66</v>
      </c>
      <c r="M5" s="34" t="s">
        <v>113</v>
      </c>
      <c r="N5" s="44" t="s">
        <v>117</v>
      </c>
    </row>
    <row r="6" spans="2:14" x14ac:dyDescent="0.45">
      <c r="B6" s="81">
        <v>2</v>
      </c>
      <c r="C6" s="14">
        <f t="shared" ref="C6:C35" si="1">_xlfn.BITAND(_xlfn.BITRSHIFT($B6,4),1)</f>
        <v>0</v>
      </c>
      <c r="D6" s="14">
        <f t="shared" ref="D6:D35" si="2">_xlfn.BITAND(_xlfn.BITRSHIFT($B6,3),1)</f>
        <v>0</v>
      </c>
      <c r="E6" s="59">
        <f t="shared" ref="E6:E35" si="3">_xlfn.BITAND(_xlfn.BITRSHIFT($B6,2),1)</f>
        <v>0</v>
      </c>
      <c r="F6" s="14">
        <f t="shared" ref="F6:F35" si="4">_xlfn.BITAND(_xlfn.BITRSHIFT($B6,1),1)</f>
        <v>1</v>
      </c>
      <c r="G6" s="15">
        <f t="shared" si="0"/>
        <v>0</v>
      </c>
      <c r="H6" s="231" t="s">
        <v>61</v>
      </c>
      <c r="I6" s="64" t="s">
        <v>7</v>
      </c>
      <c r="J6" s="232" t="s">
        <v>70</v>
      </c>
      <c r="K6" s="234" t="s">
        <v>69</v>
      </c>
      <c r="L6" s="236" t="s">
        <v>66</v>
      </c>
      <c r="M6" s="244" t="s">
        <v>113</v>
      </c>
      <c r="N6" s="238" t="s">
        <v>71</v>
      </c>
    </row>
    <row r="7" spans="2:14" x14ac:dyDescent="0.45">
      <c r="B7" s="81">
        <v>3</v>
      </c>
      <c r="C7" s="14">
        <f t="shared" si="1"/>
        <v>0</v>
      </c>
      <c r="D7" s="14">
        <f t="shared" si="2"/>
        <v>0</v>
      </c>
      <c r="E7" s="59">
        <f t="shared" si="3"/>
        <v>0</v>
      </c>
      <c r="F7" s="14">
        <f t="shared" si="4"/>
        <v>1</v>
      </c>
      <c r="G7" s="15">
        <f t="shared" si="0"/>
        <v>1</v>
      </c>
      <c r="H7" s="231"/>
      <c r="I7" s="70" t="s">
        <v>8</v>
      </c>
      <c r="J7" s="232"/>
      <c r="K7" s="234"/>
      <c r="L7" s="236"/>
      <c r="M7" s="245"/>
      <c r="N7" s="238"/>
    </row>
    <row r="8" spans="2:14" x14ac:dyDescent="0.45">
      <c r="B8" s="81">
        <v>4</v>
      </c>
      <c r="C8" s="14">
        <f t="shared" si="1"/>
        <v>0</v>
      </c>
      <c r="D8" s="14">
        <f t="shared" si="2"/>
        <v>0</v>
      </c>
      <c r="E8" s="59">
        <f t="shared" si="3"/>
        <v>1</v>
      </c>
      <c r="F8" s="14">
        <f t="shared" si="4"/>
        <v>0</v>
      </c>
      <c r="G8" s="15">
        <f t="shared" si="0"/>
        <v>0</v>
      </c>
      <c r="H8" s="231"/>
      <c r="I8" s="90" t="s">
        <v>9</v>
      </c>
      <c r="J8" s="232"/>
      <c r="K8" s="234"/>
      <c r="L8" s="236"/>
      <c r="M8" s="245"/>
      <c r="N8" s="238"/>
    </row>
    <row r="9" spans="2:14" x14ac:dyDescent="0.45">
      <c r="B9" s="81">
        <v>5</v>
      </c>
      <c r="C9" s="14">
        <f t="shared" si="1"/>
        <v>0</v>
      </c>
      <c r="D9" s="14">
        <f t="shared" si="2"/>
        <v>0</v>
      </c>
      <c r="E9" s="59">
        <f t="shared" si="3"/>
        <v>1</v>
      </c>
      <c r="F9" s="14">
        <f t="shared" si="4"/>
        <v>0</v>
      </c>
      <c r="G9" s="15">
        <f t="shared" si="0"/>
        <v>1</v>
      </c>
      <c r="H9" s="231"/>
      <c r="I9" s="90" t="s">
        <v>10</v>
      </c>
      <c r="J9" s="232"/>
      <c r="K9" s="234"/>
      <c r="L9" s="236"/>
      <c r="M9" s="245"/>
      <c r="N9" s="238"/>
    </row>
    <row r="10" spans="2:14" x14ac:dyDescent="0.45">
      <c r="B10" s="81">
        <v>6</v>
      </c>
      <c r="C10" s="14">
        <f t="shared" si="1"/>
        <v>0</v>
      </c>
      <c r="D10" s="14">
        <f t="shared" si="2"/>
        <v>0</v>
      </c>
      <c r="E10" s="59">
        <f t="shared" si="3"/>
        <v>1</v>
      </c>
      <c r="F10" s="14">
        <f t="shared" si="4"/>
        <v>1</v>
      </c>
      <c r="G10" s="15">
        <f t="shared" si="0"/>
        <v>0</v>
      </c>
      <c r="H10" s="231"/>
      <c r="I10" s="90" t="s">
        <v>11</v>
      </c>
      <c r="J10" s="232"/>
      <c r="K10" s="234"/>
      <c r="L10" s="236"/>
      <c r="M10" s="245"/>
      <c r="N10" s="238"/>
    </row>
    <row r="11" spans="2:14" ht="14.65" thickBot="1" x14ac:dyDescent="0.5">
      <c r="B11" s="82">
        <v>7</v>
      </c>
      <c r="C11" s="17">
        <f t="shared" si="1"/>
        <v>0</v>
      </c>
      <c r="D11" s="17">
        <f t="shared" si="2"/>
        <v>0</v>
      </c>
      <c r="E11" s="60">
        <f t="shared" si="3"/>
        <v>1</v>
      </c>
      <c r="F11" s="17">
        <f t="shared" si="4"/>
        <v>1</v>
      </c>
      <c r="G11" s="18">
        <f t="shared" si="0"/>
        <v>1</v>
      </c>
      <c r="H11" s="230"/>
      <c r="I11" s="43" t="s">
        <v>12</v>
      </c>
      <c r="J11" s="233"/>
      <c r="K11" s="235"/>
      <c r="L11" s="237"/>
      <c r="M11" s="246"/>
      <c r="N11" s="239"/>
    </row>
    <row r="12" spans="2:14" x14ac:dyDescent="0.45">
      <c r="B12" s="80">
        <v>8</v>
      </c>
      <c r="C12" s="35">
        <f t="shared" si="1"/>
        <v>0</v>
      </c>
      <c r="D12" s="35">
        <f t="shared" si="2"/>
        <v>1</v>
      </c>
      <c r="E12" s="35">
        <f t="shared" si="3"/>
        <v>0</v>
      </c>
      <c r="F12" s="57">
        <f t="shared" si="4"/>
        <v>0</v>
      </c>
      <c r="G12" s="58">
        <f t="shared" si="0"/>
        <v>0</v>
      </c>
      <c r="H12" s="229" t="s">
        <v>55</v>
      </c>
      <c r="I12" s="64" t="s">
        <v>13</v>
      </c>
      <c r="J12" s="240" t="s">
        <v>70</v>
      </c>
      <c r="K12" s="241" t="s">
        <v>69</v>
      </c>
      <c r="L12" s="242" t="s">
        <v>66</v>
      </c>
      <c r="M12" s="229" t="s">
        <v>114</v>
      </c>
      <c r="N12" s="243" t="s">
        <v>104</v>
      </c>
    </row>
    <row r="13" spans="2:14" x14ac:dyDescent="0.45">
      <c r="B13" s="81">
        <v>9</v>
      </c>
      <c r="C13" s="14">
        <f t="shared" si="1"/>
        <v>0</v>
      </c>
      <c r="D13" s="14">
        <f t="shared" si="2"/>
        <v>1</v>
      </c>
      <c r="E13" s="14">
        <f t="shared" si="3"/>
        <v>0</v>
      </c>
      <c r="F13" s="59">
        <f t="shared" si="4"/>
        <v>0</v>
      </c>
      <c r="G13" s="15">
        <f t="shared" si="0"/>
        <v>1</v>
      </c>
      <c r="H13" s="231"/>
      <c r="I13" s="90" t="s">
        <v>14</v>
      </c>
      <c r="J13" s="232"/>
      <c r="K13" s="234"/>
      <c r="L13" s="236"/>
      <c r="M13" s="231"/>
      <c r="N13" s="238"/>
    </row>
    <row r="14" spans="2:14" x14ac:dyDescent="0.45">
      <c r="B14" s="81">
        <v>10</v>
      </c>
      <c r="C14" s="14">
        <f t="shared" si="1"/>
        <v>0</v>
      </c>
      <c r="D14" s="14">
        <f t="shared" si="2"/>
        <v>1</v>
      </c>
      <c r="E14" s="14">
        <f t="shared" si="3"/>
        <v>0</v>
      </c>
      <c r="F14" s="59">
        <f t="shared" si="4"/>
        <v>1</v>
      </c>
      <c r="G14" s="15">
        <f t="shared" si="0"/>
        <v>0</v>
      </c>
      <c r="H14" s="231"/>
      <c r="I14" s="90" t="s">
        <v>102</v>
      </c>
      <c r="J14" s="232"/>
      <c r="K14" s="234"/>
      <c r="L14" s="236"/>
      <c r="M14" s="231"/>
      <c r="N14" s="238"/>
    </row>
    <row r="15" spans="2:14" ht="14.65" thickBot="1" x14ac:dyDescent="0.5">
      <c r="B15" s="82">
        <v>11</v>
      </c>
      <c r="C15" s="17">
        <f t="shared" si="1"/>
        <v>0</v>
      </c>
      <c r="D15" s="17">
        <f t="shared" si="2"/>
        <v>1</v>
      </c>
      <c r="E15" s="17">
        <f t="shared" si="3"/>
        <v>0</v>
      </c>
      <c r="F15" s="60">
        <f t="shared" si="4"/>
        <v>1</v>
      </c>
      <c r="G15" s="18">
        <f t="shared" si="0"/>
        <v>1</v>
      </c>
      <c r="H15" s="230"/>
      <c r="I15" s="43" t="s">
        <v>103</v>
      </c>
      <c r="J15" s="233"/>
      <c r="K15" s="235"/>
      <c r="L15" s="237"/>
      <c r="M15" s="230"/>
      <c r="N15" s="239"/>
    </row>
    <row r="16" spans="2:14" x14ac:dyDescent="0.45">
      <c r="B16" s="80">
        <v>12</v>
      </c>
      <c r="C16" s="35">
        <f t="shared" si="1"/>
        <v>0</v>
      </c>
      <c r="D16" s="35">
        <f t="shared" si="2"/>
        <v>1</v>
      </c>
      <c r="E16" s="35">
        <f t="shared" si="3"/>
        <v>1</v>
      </c>
      <c r="F16" s="57">
        <f t="shared" si="4"/>
        <v>0</v>
      </c>
      <c r="G16" s="58">
        <f t="shared" si="0"/>
        <v>0</v>
      </c>
      <c r="H16" s="229" t="s">
        <v>56</v>
      </c>
      <c r="I16" s="64" t="s">
        <v>47</v>
      </c>
      <c r="J16" s="240" t="s">
        <v>65</v>
      </c>
      <c r="K16" s="247" t="s">
        <v>64</v>
      </c>
      <c r="L16" s="242" t="s">
        <v>66</v>
      </c>
      <c r="M16" s="229" t="s">
        <v>114</v>
      </c>
      <c r="N16" s="75" t="s">
        <v>106</v>
      </c>
    </row>
    <row r="17" spans="2:17" x14ac:dyDescent="0.45">
      <c r="B17" s="81">
        <v>13</v>
      </c>
      <c r="C17" s="14">
        <f t="shared" si="1"/>
        <v>0</v>
      </c>
      <c r="D17" s="14">
        <f t="shared" si="2"/>
        <v>1</v>
      </c>
      <c r="E17" s="14">
        <f t="shared" si="3"/>
        <v>1</v>
      </c>
      <c r="F17" s="59">
        <f t="shared" si="4"/>
        <v>0</v>
      </c>
      <c r="G17" s="15">
        <f t="shared" si="0"/>
        <v>1</v>
      </c>
      <c r="H17" s="231"/>
      <c r="I17" s="70" t="s">
        <v>48</v>
      </c>
      <c r="J17" s="232"/>
      <c r="K17" s="248"/>
      <c r="L17" s="236"/>
      <c r="M17" s="231"/>
      <c r="N17" s="74" t="s">
        <v>105</v>
      </c>
    </row>
    <row r="18" spans="2:17" x14ac:dyDescent="0.45">
      <c r="B18" s="81">
        <v>14</v>
      </c>
      <c r="C18" s="14">
        <f t="shared" si="1"/>
        <v>0</v>
      </c>
      <c r="D18" s="14">
        <f t="shared" si="2"/>
        <v>1</v>
      </c>
      <c r="E18" s="14">
        <f t="shared" si="3"/>
        <v>1</v>
      </c>
      <c r="F18" s="59">
        <f t="shared" si="4"/>
        <v>1</v>
      </c>
      <c r="G18" s="15">
        <f t="shared" si="0"/>
        <v>0</v>
      </c>
      <c r="H18" s="231"/>
      <c r="I18" s="70" t="s">
        <v>49</v>
      </c>
      <c r="J18" s="232"/>
      <c r="K18" s="248"/>
      <c r="L18" s="236"/>
      <c r="M18" s="231"/>
      <c r="N18" s="74" t="s">
        <v>107</v>
      </c>
    </row>
    <row r="19" spans="2:17" ht="14.65" thickBot="1" x14ac:dyDescent="0.5">
      <c r="B19" s="82">
        <v>15</v>
      </c>
      <c r="C19" s="17">
        <f t="shared" si="1"/>
        <v>0</v>
      </c>
      <c r="D19" s="17">
        <f t="shared" si="2"/>
        <v>1</v>
      </c>
      <c r="E19" s="17">
        <f t="shared" si="3"/>
        <v>1</v>
      </c>
      <c r="F19" s="60">
        <f t="shared" si="4"/>
        <v>1</v>
      </c>
      <c r="G19" s="18">
        <f t="shared" si="0"/>
        <v>1</v>
      </c>
      <c r="H19" s="230"/>
      <c r="I19" s="43" t="s">
        <v>50</v>
      </c>
      <c r="J19" s="233"/>
      <c r="K19" s="249"/>
      <c r="L19" s="237"/>
      <c r="M19" s="230"/>
      <c r="N19" s="44" t="s">
        <v>108</v>
      </c>
      <c r="P19" s="1"/>
    </row>
    <row r="20" spans="2:17" x14ac:dyDescent="0.45">
      <c r="B20" s="80">
        <v>16</v>
      </c>
      <c r="C20" s="35">
        <f t="shared" si="1"/>
        <v>1</v>
      </c>
      <c r="D20" s="35">
        <f t="shared" si="2"/>
        <v>0</v>
      </c>
      <c r="E20" s="35">
        <f t="shared" si="3"/>
        <v>0</v>
      </c>
      <c r="F20" s="57">
        <f t="shared" si="4"/>
        <v>0</v>
      </c>
      <c r="G20" s="58">
        <f t="shared" si="0"/>
        <v>0</v>
      </c>
      <c r="H20" s="229" t="s">
        <v>57</v>
      </c>
      <c r="I20" s="64" t="s">
        <v>17</v>
      </c>
      <c r="J20" s="240" t="s">
        <v>16</v>
      </c>
      <c r="K20" s="241" t="s">
        <v>18</v>
      </c>
      <c r="L20" s="242" t="s">
        <v>66</v>
      </c>
      <c r="M20" s="244" t="s">
        <v>113</v>
      </c>
      <c r="N20" s="41" t="s">
        <v>98</v>
      </c>
    </row>
    <row r="21" spans="2:17" x14ac:dyDescent="0.45">
      <c r="B21" s="81">
        <v>17</v>
      </c>
      <c r="C21" s="14">
        <f t="shared" si="1"/>
        <v>1</v>
      </c>
      <c r="D21" s="14">
        <f t="shared" si="2"/>
        <v>0</v>
      </c>
      <c r="E21" s="14">
        <f t="shared" si="3"/>
        <v>0</v>
      </c>
      <c r="F21" s="59">
        <f t="shared" si="4"/>
        <v>0</v>
      </c>
      <c r="G21" s="15">
        <f t="shared" si="0"/>
        <v>1</v>
      </c>
      <c r="H21" s="231"/>
      <c r="I21" s="70" t="s">
        <v>19</v>
      </c>
      <c r="J21" s="232"/>
      <c r="K21" s="234"/>
      <c r="L21" s="236"/>
      <c r="M21" s="245"/>
      <c r="N21" s="74" t="s">
        <v>99</v>
      </c>
    </row>
    <row r="22" spans="2:17" x14ac:dyDescent="0.45">
      <c r="B22" s="81">
        <v>18</v>
      </c>
      <c r="C22" s="14">
        <f t="shared" si="1"/>
        <v>1</v>
      </c>
      <c r="D22" s="14">
        <f t="shared" si="2"/>
        <v>0</v>
      </c>
      <c r="E22" s="14">
        <f t="shared" si="3"/>
        <v>0</v>
      </c>
      <c r="F22" s="59">
        <f t="shared" si="4"/>
        <v>1</v>
      </c>
      <c r="G22" s="15">
        <f t="shared" si="0"/>
        <v>0</v>
      </c>
      <c r="H22" s="231"/>
      <c r="I22" s="70" t="s">
        <v>20</v>
      </c>
      <c r="J22" s="232"/>
      <c r="K22" s="234"/>
      <c r="L22" s="236"/>
      <c r="M22" s="245"/>
      <c r="N22" s="74" t="s">
        <v>100</v>
      </c>
    </row>
    <row r="23" spans="2:17" ht="14.65" thickBot="1" x14ac:dyDescent="0.5">
      <c r="B23" s="81">
        <v>19</v>
      </c>
      <c r="C23" s="14">
        <f t="shared" si="1"/>
        <v>1</v>
      </c>
      <c r="D23" s="14">
        <f t="shared" si="2"/>
        <v>0</v>
      </c>
      <c r="E23" s="14">
        <f t="shared" si="3"/>
        <v>0</v>
      </c>
      <c r="F23" s="60">
        <f t="shared" si="4"/>
        <v>1</v>
      </c>
      <c r="G23" s="18">
        <f t="shared" si="0"/>
        <v>1</v>
      </c>
      <c r="H23" s="230"/>
      <c r="I23" s="42" t="s">
        <v>21</v>
      </c>
      <c r="J23" s="233"/>
      <c r="K23" s="235"/>
      <c r="L23" s="237"/>
      <c r="M23" s="246"/>
      <c r="N23" s="41" t="s">
        <v>101</v>
      </c>
    </row>
    <row r="24" spans="2:17" x14ac:dyDescent="0.45">
      <c r="B24" s="80">
        <v>20</v>
      </c>
      <c r="C24" s="35">
        <f t="shared" si="1"/>
        <v>1</v>
      </c>
      <c r="D24" s="35">
        <f t="shared" si="2"/>
        <v>0</v>
      </c>
      <c r="E24" s="35">
        <f t="shared" si="3"/>
        <v>1</v>
      </c>
      <c r="F24" s="57">
        <f t="shared" si="4"/>
        <v>0</v>
      </c>
      <c r="G24" s="58">
        <f t="shared" si="0"/>
        <v>0</v>
      </c>
      <c r="H24" s="229" t="s">
        <v>58</v>
      </c>
      <c r="I24" s="64" t="s">
        <v>45</v>
      </c>
      <c r="J24" s="66" t="s">
        <v>67</v>
      </c>
      <c r="K24" s="65" t="s">
        <v>64</v>
      </c>
      <c r="L24" s="67" t="s">
        <v>16</v>
      </c>
      <c r="M24" s="102" t="s">
        <v>113</v>
      </c>
      <c r="N24" s="75" t="s">
        <v>93</v>
      </c>
    </row>
    <row r="25" spans="2:17" x14ac:dyDescent="0.45">
      <c r="B25" s="81">
        <v>21</v>
      </c>
      <c r="C25" s="14">
        <f t="shared" si="1"/>
        <v>1</v>
      </c>
      <c r="D25" s="14">
        <f t="shared" si="2"/>
        <v>0</v>
      </c>
      <c r="E25" s="14">
        <f t="shared" si="3"/>
        <v>1</v>
      </c>
      <c r="F25" s="59">
        <f t="shared" si="4"/>
        <v>0</v>
      </c>
      <c r="G25" s="15">
        <f t="shared" si="0"/>
        <v>1</v>
      </c>
      <c r="H25" s="231"/>
      <c r="I25" s="70" t="s">
        <v>46</v>
      </c>
      <c r="J25" s="100" t="s">
        <v>67</v>
      </c>
      <c r="K25" s="103" t="s">
        <v>16</v>
      </c>
      <c r="L25" s="101" t="s">
        <v>44</v>
      </c>
      <c r="M25" s="99" t="s">
        <v>113</v>
      </c>
      <c r="N25" s="74" t="s">
        <v>94</v>
      </c>
    </row>
    <row r="26" spans="2:17" x14ac:dyDescent="0.45">
      <c r="B26" s="81">
        <v>22</v>
      </c>
      <c r="C26" s="14">
        <f t="shared" si="1"/>
        <v>1</v>
      </c>
      <c r="D26" s="14">
        <f t="shared" si="2"/>
        <v>0</v>
      </c>
      <c r="E26" s="14">
        <f t="shared" si="3"/>
        <v>1</v>
      </c>
      <c r="F26" s="59">
        <f t="shared" si="4"/>
        <v>1</v>
      </c>
      <c r="G26" s="15">
        <f t="shared" si="0"/>
        <v>0</v>
      </c>
      <c r="H26" s="231"/>
      <c r="I26" s="104"/>
      <c r="J26" s="137"/>
      <c r="K26" s="138"/>
      <c r="L26" s="139"/>
      <c r="M26" s="105"/>
      <c r="N26" s="105"/>
    </row>
    <row r="27" spans="2:17" ht="14.65" thickBot="1" x14ac:dyDescent="0.5">
      <c r="B27" s="82">
        <v>23</v>
      </c>
      <c r="C27" s="14">
        <f t="shared" si="1"/>
        <v>1</v>
      </c>
      <c r="D27" s="14">
        <f t="shared" si="2"/>
        <v>0</v>
      </c>
      <c r="E27" s="14">
        <f t="shared" si="3"/>
        <v>1</v>
      </c>
      <c r="F27" s="60">
        <f t="shared" si="4"/>
        <v>1</v>
      </c>
      <c r="G27" s="18">
        <f t="shared" si="0"/>
        <v>1</v>
      </c>
      <c r="H27" s="230"/>
      <c r="I27" s="97"/>
      <c r="J27" s="134"/>
      <c r="K27" s="135"/>
      <c r="L27" s="136"/>
      <c r="M27" s="133"/>
      <c r="N27" s="133"/>
    </row>
    <row r="28" spans="2:17" x14ac:dyDescent="0.45">
      <c r="B28" s="80">
        <v>24</v>
      </c>
      <c r="C28" s="35">
        <f>_xlfn.BITAND(_xlfn.BITRSHIFT($B28,4),1)</f>
        <v>1</v>
      </c>
      <c r="D28" s="35">
        <f>_xlfn.BITAND(_xlfn.BITRSHIFT($B28,3),1)</f>
        <v>1</v>
      </c>
      <c r="E28" s="35">
        <f>_xlfn.BITAND(_xlfn.BITRSHIFT($B28,2),1)</f>
        <v>0</v>
      </c>
      <c r="F28" s="57">
        <f>_xlfn.BITAND(_xlfn.BITRSHIFT($B28,1),1)</f>
        <v>0</v>
      </c>
      <c r="G28" s="58">
        <f>_xlfn.BITAND($B28,1)</f>
        <v>0</v>
      </c>
      <c r="H28" s="229" t="s">
        <v>60</v>
      </c>
      <c r="I28" s="37" t="s">
        <v>51</v>
      </c>
      <c r="J28" s="33" t="s">
        <v>64</v>
      </c>
      <c r="K28" s="53" t="s">
        <v>64</v>
      </c>
      <c r="L28" s="39" t="s">
        <v>62</v>
      </c>
      <c r="M28" s="98" t="s">
        <v>113</v>
      </c>
      <c r="N28" s="38" t="s">
        <v>163</v>
      </c>
    </row>
    <row r="29" spans="2:17" x14ac:dyDescent="0.45">
      <c r="B29" s="81">
        <v>25</v>
      </c>
      <c r="C29" s="14">
        <f>_xlfn.BITAND(_xlfn.BITRSHIFT($B29,4),1)</f>
        <v>1</v>
      </c>
      <c r="D29" s="14">
        <f>_xlfn.BITAND(_xlfn.BITRSHIFT($B29,3),1)</f>
        <v>1</v>
      </c>
      <c r="E29" s="14">
        <f>_xlfn.BITAND(_xlfn.BITRSHIFT($B29,2),1)</f>
        <v>0</v>
      </c>
      <c r="F29" s="59">
        <f>_xlfn.BITAND(_xlfn.BITRSHIFT($B29,1),1)</f>
        <v>0</v>
      </c>
      <c r="G29" s="15">
        <f>_xlfn.BITAND($B29,1)</f>
        <v>1</v>
      </c>
      <c r="H29" s="231"/>
      <c r="I29" s="70" t="s">
        <v>52</v>
      </c>
      <c r="J29" s="71" t="s">
        <v>64</v>
      </c>
      <c r="K29" s="72" t="s">
        <v>64</v>
      </c>
      <c r="L29" s="73" t="s">
        <v>63</v>
      </c>
      <c r="M29" s="99" t="s">
        <v>113</v>
      </c>
      <c r="N29" s="74" t="s">
        <v>164</v>
      </c>
    </row>
    <row r="30" spans="2:17" x14ac:dyDescent="0.45">
      <c r="B30" s="81">
        <v>26</v>
      </c>
      <c r="C30" s="14">
        <f>_xlfn.BITAND(_xlfn.BITRSHIFT($B30,4),1)</f>
        <v>1</v>
      </c>
      <c r="D30" s="14">
        <f>_xlfn.BITAND(_xlfn.BITRSHIFT($B30,3),1)</f>
        <v>1</v>
      </c>
      <c r="E30" s="14">
        <f>_xlfn.BITAND(_xlfn.BITRSHIFT($B30,2),1)</f>
        <v>0</v>
      </c>
      <c r="F30" s="59">
        <f>_xlfn.BITAND(_xlfn.BITRSHIFT($B30,1),1)</f>
        <v>1</v>
      </c>
      <c r="G30" s="15">
        <f>_xlfn.BITAND($B30,1)</f>
        <v>0</v>
      </c>
      <c r="H30" s="231"/>
      <c r="I30" s="70" t="s">
        <v>53</v>
      </c>
      <c r="J30" s="100" t="s">
        <v>16</v>
      </c>
      <c r="K30" s="72" t="s">
        <v>64</v>
      </c>
      <c r="L30" s="101" t="s">
        <v>44</v>
      </c>
      <c r="M30" s="99" t="s">
        <v>113</v>
      </c>
      <c r="N30" s="74" t="s">
        <v>165</v>
      </c>
    </row>
    <row r="31" spans="2:17" ht="14.65" thickBot="1" x14ac:dyDescent="0.5">
      <c r="B31" s="82">
        <v>27</v>
      </c>
      <c r="C31" s="17">
        <f t="shared" si="1"/>
        <v>1</v>
      </c>
      <c r="D31" s="17">
        <f t="shared" si="2"/>
        <v>1</v>
      </c>
      <c r="E31" s="17">
        <f t="shared" si="3"/>
        <v>0</v>
      </c>
      <c r="F31" s="60">
        <f t="shared" si="4"/>
        <v>1</v>
      </c>
      <c r="G31" s="18">
        <f t="shared" si="0"/>
        <v>1</v>
      </c>
      <c r="H31" s="230"/>
      <c r="I31" s="91"/>
      <c r="J31" s="94"/>
      <c r="K31" s="95"/>
      <c r="L31" s="96"/>
      <c r="M31" s="96"/>
      <c r="N31" s="93"/>
    </row>
    <row r="32" spans="2:17" x14ac:dyDescent="0.45">
      <c r="B32" s="81">
        <v>28</v>
      </c>
      <c r="C32" s="35">
        <f t="shared" si="1"/>
        <v>1</v>
      </c>
      <c r="D32" s="35">
        <f t="shared" si="2"/>
        <v>1</v>
      </c>
      <c r="E32" s="35">
        <f t="shared" si="3"/>
        <v>1</v>
      </c>
      <c r="F32" s="57">
        <f t="shared" si="4"/>
        <v>0</v>
      </c>
      <c r="G32" s="58">
        <f t="shared" si="0"/>
        <v>0</v>
      </c>
      <c r="H32" s="231" t="s">
        <v>59</v>
      </c>
      <c r="I32" s="64" t="s">
        <v>25</v>
      </c>
      <c r="J32" s="66" t="s">
        <v>67</v>
      </c>
      <c r="K32" s="68" t="s">
        <v>68</v>
      </c>
      <c r="L32" s="69" t="s">
        <v>44</v>
      </c>
      <c r="M32" s="69" t="s">
        <v>113</v>
      </c>
      <c r="N32" s="75" t="s">
        <v>109</v>
      </c>
      <c r="Q32" s="1"/>
    </row>
    <row r="33" spans="2:17" x14ac:dyDescent="0.45">
      <c r="B33" s="81">
        <v>29</v>
      </c>
      <c r="C33" s="14">
        <f t="shared" si="1"/>
        <v>1</v>
      </c>
      <c r="D33" s="14">
        <f t="shared" si="2"/>
        <v>1</v>
      </c>
      <c r="E33" s="14">
        <f t="shared" si="3"/>
        <v>1</v>
      </c>
      <c r="F33" s="59">
        <f t="shared" si="4"/>
        <v>0</v>
      </c>
      <c r="G33" s="15">
        <f t="shared" si="0"/>
        <v>1</v>
      </c>
      <c r="H33" s="231"/>
      <c r="I33" s="70" t="s">
        <v>24</v>
      </c>
      <c r="J33" s="71" t="s">
        <v>64</v>
      </c>
      <c r="K33" s="72" t="s">
        <v>64</v>
      </c>
      <c r="L33" s="101" t="s">
        <v>44</v>
      </c>
      <c r="M33" s="101" t="s">
        <v>113</v>
      </c>
      <c r="N33" s="74" t="s">
        <v>110</v>
      </c>
      <c r="Q33" s="1"/>
    </row>
    <row r="34" spans="2:17" ht="14.65" thickBot="1" x14ac:dyDescent="0.5">
      <c r="B34" s="81">
        <v>30</v>
      </c>
      <c r="C34" s="14">
        <f t="shared" si="1"/>
        <v>1</v>
      </c>
      <c r="D34" s="14">
        <f t="shared" si="2"/>
        <v>1</v>
      </c>
      <c r="E34" s="14">
        <f t="shared" si="3"/>
        <v>1</v>
      </c>
      <c r="F34" s="59">
        <f t="shared" si="4"/>
        <v>1</v>
      </c>
      <c r="G34" s="15">
        <f t="shared" si="0"/>
        <v>0</v>
      </c>
      <c r="H34" s="230"/>
      <c r="I34" s="97"/>
      <c r="J34" s="94"/>
      <c r="K34" s="95"/>
      <c r="L34" s="96"/>
      <c r="M34" s="96"/>
      <c r="N34" s="93"/>
      <c r="Q34" s="1"/>
    </row>
    <row r="35" spans="2:17" ht="14.65" thickBot="1" x14ac:dyDescent="0.5">
      <c r="B35" s="83">
        <v>31</v>
      </c>
      <c r="C35" s="36">
        <f t="shared" si="1"/>
        <v>1</v>
      </c>
      <c r="D35" s="36">
        <f t="shared" si="2"/>
        <v>1</v>
      </c>
      <c r="E35" s="36">
        <f t="shared" si="3"/>
        <v>1</v>
      </c>
      <c r="F35" s="36">
        <f t="shared" si="4"/>
        <v>1</v>
      </c>
      <c r="G35" s="61">
        <f t="shared" si="0"/>
        <v>1</v>
      </c>
      <c r="H35" s="45" t="s">
        <v>22</v>
      </c>
      <c r="I35" s="45" t="s">
        <v>22</v>
      </c>
      <c r="J35" s="47" t="s">
        <v>64</v>
      </c>
      <c r="K35" s="55" t="s">
        <v>64</v>
      </c>
      <c r="L35" s="32" t="s">
        <v>44</v>
      </c>
      <c r="M35" s="32" t="s">
        <v>113</v>
      </c>
      <c r="N35" s="46" t="s">
        <v>111</v>
      </c>
    </row>
  </sheetData>
  <mergeCells count="32">
    <mergeCell ref="H32:H34"/>
    <mergeCell ref="H28:H31"/>
    <mergeCell ref="H24:H27"/>
    <mergeCell ref="H16:H19"/>
    <mergeCell ref="J16:J19"/>
    <mergeCell ref="K16:K19"/>
    <mergeCell ref="L16:L19"/>
    <mergeCell ref="M16:M19"/>
    <mergeCell ref="H20:H23"/>
    <mergeCell ref="J20:J23"/>
    <mergeCell ref="K20:K23"/>
    <mergeCell ref="L20:L23"/>
    <mergeCell ref="M20:M23"/>
    <mergeCell ref="N6:N11"/>
    <mergeCell ref="H12:H15"/>
    <mergeCell ref="J12:J15"/>
    <mergeCell ref="K12:K15"/>
    <mergeCell ref="L12:L15"/>
    <mergeCell ref="M12:M15"/>
    <mergeCell ref="N12:N15"/>
    <mergeCell ref="M6:M11"/>
    <mergeCell ref="H4:H5"/>
    <mergeCell ref="H6:H11"/>
    <mergeCell ref="J6:J11"/>
    <mergeCell ref="K6:K11"/>
    <mergeCell ref="L6:L11"/>
    <mergeCell ref="N2:N3"/>
    <mergeCell ref="B2:G2"/>
    <mergeCell ref="H2:H3"/>
    <mergeCell ref="I2:I3"/>
    <mergeCell ref="J2:L2"/>
    <mergeCell ref="M2:M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8E61-AC5A-4E7F-9536-02553AF94143}">
  <dimension ref="B1:P35"/>
  <sheetViews>
    <sheetView workbookViewId="0"/>
  </sheetViews>
  <sheetFormatPr baseColWidth="10" defaultColWidth="9" defaultRowHeight="14.25" x14ac:dyDescent="0.45"/>
  <cols>
    <col min="2" max="2" width="9" style="1"/>
    <col min="3" max="7" width="4.73046875" style="1" customWidth="1"/>
    <col min="8" max="8" width="14.265625" style="1" customWidth="1"/>
    <col min="9" max="9" width="16.73046875" style="1" customWidth="1"/>
    <col min="10" max="12" width="20.73046875" customWidth="1"/>
    <col min="13" max="13" width="90.265625" customWidth="1"/>
  </cols>
  <sheetData>
    <row r="1" spans="2:13" ht="14.65" thickBot="1" x14ac:dyDescent="0.5"/>
    <row r="2" spans="2:13" x14ac:dyDescent="0.45">
      <c r="B2" s="226" t="s">
        <v>41</v>
      </c>
      <c r="C2" s="227"/>
      <c r="D2" s="227"/>
      <c r="E2" s="227"/>
      <c r="F2" s="227"/>
      <c r="G2" s="228"/>
      <c r="H2" s="196" t="s">
        <v>54</v>
      </c>
      <c r="I2" s="196" t="s">
        <v>5</v>
      </c>
      <c r="J2" s="226" t="s">
        <v>43</v>
      </c>
      <c r="K2" s="227"/>
      <c r="L2" s="227"/>
      <c r="M2" s="196" t="s">
        <v>33</v>
      </c>
    </row>
    <row r="3" spans="2:13" ht="14.65" thickBot="1" x14ac:dyDescent="0.5">
      <c r="B3" s="84" t="s">
        <v>16</v>
      </c>
      <c r="C3" s="49" t="s">
        <v>42</v>
      </c>
      <c r="D3" s="49" t="s">
        <v>37</v>
      </c>
      <c r="E3" s="49" t="s">
        <v>36</v>
      </c>
      <c r="F3" s="49" t="s">
        <v>35</v>
      </c>
      <c r="G3" s="50" t="s">
        <v>34</v>
      </c>
      <c r="H3" s="197"/>
      <c r="I3" s="197"/>
      <c r="J3" s="48" t="s">
        <v>3</v>
      </c>
      <c r="K3" s="52" t="s">
        <v>2</v>
      </c>
      <c r="L3" s="51" t="s">
        <v>6</v>
      </c>
      <c r="M3" s="197"/>
    </row>
    <row r="4" spans="2:13" x14ac:dyDescent="0.45">
      <c r="B4" s="80">
        <v>0</v>
      </c>
      <c r="C4" s="35">
        <f>_xlfn.BITAND(_xlfn.BITRSHIFT($B4,4),1)</f>
        <v>0</v>
      </c>
      <c r="D4" s="35">
        <f>_xlfn.BITAND(_xlfn.BITRSHIFT($B4,3),1)</f>
        <v>0</v>
      </c>
      <c r="E4" s="35">
        <f>_xlfn.BITAND(_xlfn.BITRSHIFT($B4,2),1)</f>
        <v>0</v>
      </c>
      <c r="F4" s="35">
        <f>_xlfn.BITAND(_xlfn.BITRSHIFT($B4,1),1)</f>
        <v>0</v>
      </c>
      <c r="G4" s="78">
        <f>_xlfn.BITAND($B4,1)</f>
        <v>0</v>
      </c>
      <c r="H4" s="229" t="s">
        <v>45</v>
      </c>
      <c r="I4" s="67" t="s">
        <v>23</v>
      </c>
      <c r="J4" s="66" t="s">
        <v>85</v>
      </c>
      <c r="K4" s="68" t="s">
        <v>115</v>
      </c>
      <c r="L4" s="66" t="s">
        <v>85</v>
      </c>
      <c r="M4" s="75" t="s">
        <v>116</v>
      </c>
    </row>
    <row r="5" spans="2:13" ht="14.65" thickBot="1" x14ac:dyDescent="0.5">
      <c r="B5" s="82">
        <v>1</v>
      </c>
      <c r="C5" s="17">
        <f>_xlfn.BITAND(_xlfn.BITRSHIFT($B5,4),1)</f>
        <v>0</v>
      </c>
      <c r="D5" s="17">
        <f>_xlfn.BITAND(_xlfn.BITRSHIFT($B5,3),1)</f>
        <v>0</v>
      </c>
      <c r="E5" s="17">
        <f>_xlfn.BITAND(_xlfn.BITRSHIFT($B5,2),1)</f>
        <v>0</v>
      </c>
      <c r="F5" s="17">
        <f>_xlfn.BITAND(_xlfn.BITRSHIFT($B5,1),1)</f>
        <v>0</v>
      </c>
      <c r="G5" s="79">
        <f t="shared" ref="G5:G35" si="0">_xlfn.BITAND($B5,1)</f>
        <v>1</v>
      </c>
      <c r="H5" s="230"/>
      <c r="I5" s="42" t="s">
        <v>3</v>
      </c>
      <c r="J5" s="62" t="s">
        <v>16</v>
      </c>
      <c r="K5" s="54" t="s">
        <v>64</v>
      </c>
      <c r="L5" s="63" t="s">
        <v>16</v>
      </c>
      <c r="M5" s="44" t="s">
        <v>117</v>
      </c>
    </row>
    <row r="6" spans="2:13" x14ac:dyDescent="0.45">
      <c r="B6" s="81">
        <v>2</v>
      </c>
      <c r="C6" s="14">
        <f t="shared" ref="C6:C35" si="1">_xlfn.BITAND(_xlfn.BITRSHIFT($B6,4),1)</f>
        <v>0</v>
      </c>
      <c r="D6" s="14">
        <f t="shared" ref="D6:D35" si="2">_xlfn.BITAND(_xlfn.BITRSHIFT($B6,3),1)</f>
        <v>0</v>
      </c>
      <c r="E6" s="59">
        <f t="shared" ref="E6:E35" si="3">_xlfn.BITAND(_xlfn.BITRSHIFT($B6,2),1)</f>
        <v>0</v>
      </c>
      <c r="F6" s="14">
        <f t="shared" ref="F6:F35" si="4">_xlfn.BITAND(_xlfn.BITRSHIFT($B6,1),1)</f>
        <v>1</v>
      </c>
      <c r="G6" s="15">
        <f t="shared" si="0"/>
        <v>0</v>
      </c>
      <c r="H6" s="231" t="s">
        <v>61</v>
      </c>
      <c r="I6" s="90" t="s">
        <v>7</v>
      </c>
      <c r="J6" s="232" t="s">
        <v>70</v>
      </c>
      <c r="K6" s="234" t="s">
        <v>69</v>
      </c>
      <c r="L6" s="236" t="s">
        <v>66</v>
      </c>
      <c r="M6" s="238" t="s">
        <v>71</v>
      </c>
    </row>
    <row r="7" spans="2:13" x14ac:dyDescent="0.45">
      <c r="B7" s="81">
        <v>3</v>
      </c>
      <c r="C7" s="14">
        <f t="shared" si="1"/>
        <v>0</v>
      </c>
      <c r="D7" s="14">
        <f t="shared" si="2"/>
        <v>0</v>
      </c>
      <c r="E7" s="59">
        <f t="shared" si="3"/>
        <v>0</v>
      </c>
      <c r="F7" s="14">
        <f t="shared" si="4"/>
        <v>1</v>
      </c>
      <c r="G7" s="15">
        <f t="shared" si="0"/>
        <v>1</v>
      </c>
      <c r="H7" s="231"/>
      <c r="I7" s="250"/>
      <c r="J7" s="232"/>
      <c r="K7" s="234"/>
      <c r="L7" s="236"/>
      <c r="M7" s="238"/>
    </row>
    <row r="8" spans="2:13" x14ac:dyDescent="0.45">
      <c r="B8" s="81">
        <v>4</v>
      </c>
      <c r="C8" s="14">
        <f t="shared" si="1"/>
        <v>0</v>
      </c>
      <c r="D8" s="14">
        <f t="shared" si="2"/>
        <v>0</v>
      </c>
      <c r="E8" s="59">
        <f t="shared" si="3"/>
        <v>1</v>
      </c>
      <c r="F8" s="14">
        <f t="shared" si="4"/>
        <v>0</v>
      </c>
      <c r="G8" s="15">
        <f t="shared" si="0"/>
        <v>0</v>
      </c>
      <c r="H8" s="231"/>
      <c r="I8" s="251"/>
      <c r="J8" s="232"/>
      <c r="K8" s="234"/>
      <c r="L8" s="236"/>
      <c r="M8" s="238"/>
    </row>
    <row r="9" spans="2:13" x14ac:dyDescent="0.45">
      <c r="B9" s="81">
        <v>5</v>
      </c>
      <c r="C9" s="14">
        <f t="shared" si="1"/>
        <v>0</v>
      </c>
      <c r="D9" s="14">
        <f t="shared" si="2"/>
        <v>0</v>
      </c>
      <c r="E9" s="59">
        <f t="shared" si="3"/>
        <v>1</v>
      </c>
      <c r="F9" s="14">
        <f t="shared" si="4"/>
        <v>0</v>
      </c>
      <c r="G9" s="15">
        <f t="shared" si="0"/>
        <v>1</v>
      </c>
      <c r="H9" s="231"/>
      <c r="I9" s="252"/>
      <c r="J9" s="232"/>
      <c r="K9" s="234"/>
      <c r="L9" s="236"/>
      <c r="M9" s="238"/>
    </row>
    <row r="10" spans="2:13" x14ac:dyDescent="0.45">
      <c r="B10" s="81">
        <v>6</v>
      </c>
      <c r="C10" s="14">
        <f t="shared" si="1"/>
        <v>0</v>
      </c>
      <c r="D10" s="14">
        <f t="shared" si="2"/>
        <v>0</v>
      </c>
      <c r="E10" s="59">
        <f t="shared" si="3"/>
        <v>1</v>
      </c>
      <c r="F10" s="14">
        <f t="shared" si="4"/>
        <v>1</v>
      </c>
      <c r="G10" s="15">
        <f t="shared" si="0"/>
        <v>0</v>
      </c>
      <c r="H10" s="231"/>
      <c r="I10" s="90" t="s">
        <v>11</v>
      </c>
      <c r="J10" s="232"/>
      <c r="K10" s="234"/>
      <c r="L10" s="236"/>
      <c r="M10" s="238"/>
    </row>
    <row r="11" spans="2:13" ht="14.65" thickBot="1" x14ac:dyDescent="0.5">
      <c r="B11" s="82">
        <v>7</v>
      </c>
      <c r="C11" s="17">
        <f t="shared" si="1"/>
        <v>0</v>
      </c>
      <c r="D11" s="17">
        <f t="shared" si="2"/>
        <v>0</v>
      </c>
      <c r="E11" s="60">
        <f t="shared" si="3"/>
        <v>1</v>
      </c>
      <c r="F11" s="17">
        <f t="shared" si="4"/>
        <v>1</v>
      </c>
      <c r="G11" s="18">
        <f t="shared" si="0"/>
        <v>1</v>
      </c>
      <c r="H11" s="230"/>
      <c r="I11" s="104"/>
      <c r="J11" s="233"/>
      <c r="K11" s="235"/>
      <c r="L11" s="237"/>
      <c r="M11" s="239"/>
    </row>
    <row r="12" spans="2:13" x14ac:dyDescent="0.45">
      <c r="B12" s="80">
        <v>8</v>
      </c>
      <c r="C12" s="35">
        <f t="shared" si="1"/>
        <v>0</v>
      </c>
      <c r="D12" s="35">
        <f t="shared" si="2"/>
        <v>1</v>
      </c>
      <c r="E12" s="35">
        <f t="shared" si="3"/>
        <v>0</v>
      </c>
      <c r="F12" s="57">
        <f t="shared" si="4"/>
        <v>0</v>
      </c>
      <c r="G12" s="58">
        <f t="shared" si="0"/>
        <v>0</v>
      </c>
      <c r="H12" s="229" t="s">
        <v>55</v>
      </c>
      <c r="I12" s="64" t="s">
        <v>13</v>
      </c>
      <c r="J12" s="240" t="s">
        <v>70</v>
      </c>
      <c r="K12" s="241" t="s">
        <v>69</v>
      </c>
      <c r="L12" s="242" t="s">
        <v>66</v>
      </c>
      <c r="M12" s="243" t="s">
        <v>104</v>
      </c>
    </row>
    <row r="13" spans="2:13" x14ac:dyDescent="0.45">
      <c r="B13" s="81">
        <v>9</v>
      </c>
      <c r="C13" s="14">
        <f t="shared" si="1"/>
        <v>0</v>
      </c>
      <c r="D13" s="14">
        <f t="shared" si="2"/>
        <v>1</v>
      </c>
      <c r="E13" s="14">
        <f t="shared" si="3"/>
        <v>0</v>
      </c>
      <c r="F13" s="59">
        <f t="shared" si="4"/>
        <v>0</v>
      </c>
      <c r="G13" s="15">
        <f t="shared" si="0"/>
        <v>1</v>
      </c>
      <c r="H13" s="231"/>
      <c r="I13" s="250"/>
      <c r="J13" s="232"/>
      <c r="K13" s="234"/>
      <c r="L13" s="236"/>
      <c r="M13" s="238"/>
    </row>
    <row r="14" spans="2:13" x14ac:dyDescent="0.45">
      <c r="B14" s="81">
        <v>10</v>
      </c>
      <c r="C14" s="14">
        <f t="shared" si="1"/>
        <v>0</v>
      </c>
      <c r="D14" s="14">
        <f t="shared" si="2"/>
        <v>1</v>
      </c>
      <c r="E14" s="14">
        <f t="shared" si="3"/>
        <v>0</v>
      </c>
      <c r="F14" s="59">
        <f t="shared" si="4"/>
        <v>1</v>
      </c>
      <c r="G14" s="15">
        <f t="shared" si="0"/>
        <v>0</v>
      </c>
      <c r="H14" s="231"/>
      <c r="I14" s="251"/>
      <c r="J14" s="232"/>
      <c r="K14" s="234"/>
      <c r="L14" s="236"/>
      <c r="M14" s="238"/>
    </row>
    <row r="15" spans="2:13" ht="14.65" thickBot="1" x14ac:dyDescent="0.5">
      <c r="B15" s="82">
        <v>11</v>
      </c>
      <c r="C15" s="17">
        <f t="shared" si="1"/>
        <v>0</v>
      </c>
      <c r="D15" s="17">
        <f t="shared" si="2"/>
        <v>1</v>
      </c>
      <c r="E15" s="17">
        <f t="shared" si="3"/>
        <v>0</v>
      </c>
      <c r="F15" s="60">
        <f t="shared" si="4"/>
        <v>1</v>
      </c>
      <c r="G15" s="18">
        <f t="shared" si="0"/>
        <v>1</v>
      </c>
      <c r="H15" s="230"/>
      <c r="I15" s="253"/>
      <c r="J15" s="233"/>
      <c r="K15" s="235"/>
      <c r="L15" s="237"/>
      <c r="M15" s="239"/>
    </row>
    <row r="16" spans="2:13" x14ac:dyDescent="0.45">
      <c r="B16" s="80">
        <v>12</v>
      </c>
      <c r="C16" s="35">
        <f t="shared" si="1"/>
        <v>0</v>
      </c>
      <c r="D16" s="35">
        <f t="shared" si="2"/>
        <v>1</v>
      </c>
      <c r="E16" s="35">
        <f t="shared" si="3"/>
        <v>1</v>
      </c>
      <c r="F16" s="57">
        <f t="shared" si="4"/>
        <v>0</v>
      </c>
      <c r="G16" s="58">
        <f t="shared" si="0"/>
        <v>0</v>
      </c>
      <c r="H16" s="229" t="s">
        <v>56</v>
      </c>
      <c r="I16" s="64" t="s">
        <v>47</v>
      </c>
      <c r="J16" s="240" t="s">
        <v>65</v>
      </c>
      <c r="K16" s="247" t="s">
        <v>64</v>
      </c>
      <c r="L16" s="242" t="s">
        <v>66</v>
      </c>
      <c r="M16" s="75" t="s">
        <v>106</v>
      </c>
    </row>
    <row r="17" spans="2:16" x14ac:dyDescent="0.45">
      <c r="B17" s="81">
        <v>13</v>
      </c>
      <c r="C17" s="14">
        <f t="shared" si="1"/>
        <v>0</v>
      </c>
      <c r="D17" s="14">
        <f t="shared" si="2"/>
        <v>1</v>
      </c>
      <c r="E17" s="14">
        <f t="shared" si="3"/>
        <v>1</v>
      </c>
      <c r="F17" s="59">
        <f t="shared" si="4"/>
        <v>0</v>
      </c>
      <c r="G17" s="15">
        <f t="shared" si="0"/>
        <v>1</v>
      </c>
      <c r="H17" s="231"/>
      <c r="I17" s="70" t="s">
        <v>48</v>
      </c>
      <c r="J17" s="232"/>
      <c r="K17" s="248"/>
      <c r="L17" s="236"/>
      <c r="M17" s="74" t="s">
        <v>105</v>
      </c>
    </row>
    <row r="18" spans="2:16" x14ac:dyDescent="0.45">
      <c r="B18" s="81">
        <v>14</v>
      </c>
      <c r="C18" s="14">
        <f t="shared" si="1"/>
        <v>0</v>
      </c>
      <c r="D18" s="14">
        <f t="shared" si="2"/>
        <v>1</v>
      </c>
      <c r="E18" s="14">
        <f t="shared" si="3"/>
        <v>1</v>
      </c>
      <c r="F18" s="59">
        <f t="shared" si="4"/>
        <v>1</v>
      </c>
      <c r="G18" s="15">
        <f t="shared" si="0"/>
        <v>0</v>
      </c>
      <c r="H18" s="231"/>
      <c r="I18" s="250"/>
      <c r="J18" s="232"/>
      <c r="K18" s="248"/>
      <c r="L18" s="236"/>
      <c r="M18" s="250"/>
    </row>
    <row r="19" spans="2:16" ht="14.65" thickBot="1" x14ac:dyDescent="0.5">
      <c r="B19" s="82">
        <v>15</v>
      </c>
      <c r="C19" s="17">
        <f t="shared" si="1"/>
        <v>0</v>
      </c>
      <c r="D19" s="17">
        <f t="shared" si="2"/>
        <v>1</v>
      </c>
      <c r="E19" s="17">
        <f t="shared" si="3"/>
        <v>1</v>
      </c>
      <c r="F19" s="60">
        <f t="shared" si="4"/>
        <v>1</v>
      </c>
      <c r="G19" s="18">
        <f t="shared" si="0"/>
        <v>1</v>
      </c>
      <c r="H19" s="230"/>
      <c r="I19" s="253"/>
      <c r="J19" s="233"/>
      <c r="K19" s="249"/>
      <c r="L19" s="237"/>
      <c r="M19" s="253"/>
      <c r="O19" s="1"/>
    </row>
    <row r="20" spans="2:16" x14ac:dyDescent="0.45">
      <c r="B20" s="80">
        <v>16</v>
      </c>
      <c r="C20" s="35">
        <f t="shared" si="1"/>
        <v>1</v>
      </c>
      <c r="D20" s="35">
        <f t="shared" si="2"/>
        <v>0</v>
      </c>
      <c r="E20" s="35">
        <f t="shared" si="3"/>
        <v>0</v>
      </c>
      <c r="F20" s="57">
        <f t="shared" si="4"/>
        <v>0</v>
      </c>
      <c r="G20" s="58">
        <f t="shared" si="0"/>
        <v>0</v>
      </c>
      <c r="H20" s="254" t="s">
        <v>179</v>
      </c>
      <c r="I20" s="177" t="s">
        <v>119</v>
      </c>
      <c r="J20" s="66" t="s">
        <v>181</v>
      </c>
      <c r="K20" s="65" t="s">
        <v>64</v>
      </c>
      <c r="L20" s="167" t="s">
        <v>66</v>
      </c>
      <c r="M20" s="176" t="s">
        <v>180</v>
      </c>
    </row>
    <row r="21" spans="2:16" x14ac:dyDescent="0.45">
      <c r="B21" s="81">
        <v>17</v>
      </c>
      <c r="C21" s="14">
        <f t="shared" si="1"/>
        <v>1</v>
      </c>
      <c r="D21" s="14">
        <f t="shared" si="2"/>
        <v>0</v>
      </c>
      <c r="E21" s="14">
        <f t="shared" si="3"/>
        <v>0</v>
      </c>
      <c r="F21" s="59">
        <f t="shared" si="4"/>
        <v>0</v>
      </c>
      <c r="G21" s="15">
        <f t="shared" si="0"/>
        <v>1</v>
      </c>
      <c r="H21" s="255"/>
      <c r="I21" s="168"/>
      <c r="J21" s="170"/>
      <c r="K21" s="172"/>
      <c r="L21" s="174"/>
      <c r="M21" s="168"/>
    </row>
    <row r="22" spans="2:16" x14ac:dyDescent="0.45">
      <c r="B22" s="81">
        <v>18</v>
      </c>
      <c r="C22" s="14">
        <f t="shared" si="1"/>
        <v>1</v>
      </c>
      <c r="D22" s="14">
        <f t="shared" si="2"/>
        <v>0</v>
      </c>
      <c r="E22" s="14">
        <f t="shared" si="3"/>
        <v>0</v>
      </c>
      <c r="F22" s="59">
        <f t="shared" si="4"/>
        <v>1</v>
      </c>
      <c r="G22" s="15">
        <f t="shared" si="0"/>
        <v>0</v>
      </c>
      <c r="H22" s="255"/>
      <c r="I22" s="168"/>
      <c r="J22" s="170"/>
      <c r="K22" s="172"/>
      <c r="L22" s="174"/>
      <c r="M22" s="168"/>
    </row>
    <row r="23" spans="2:16" ht="14.65" thickBot="1" x14ac:dyDescent="0.5">
      <c r="B23" s="81">
        <v>19</v>
      </c>
      <c r="C23" s="14">
        <f t="shared" si="1"/>
        <v>1</v>
      </c>
      <c r="D23" s="14">
        <f t="shared" si="2"/>
        <v>0</v>
      </c>
      <c r="E23" s="14">
        <f t="shared" si="3"/>
        <v>0</v>
      </c>
      <c r="F23" s="60">
        <f t="shared" si="4"/>
        <v>1</v>
      </c>
      <c r="G23" s="18">
        <f t="shared" si="0"/>
        <v>1</v>
      </c>
      <c r="H23" s="256"/>
      <c r="I23" s="169"/>
      <c r="J23" s="171"/>
      <c r="K23" s="173"/>
      <c r="L23" s="175"/>
      <c r="M23" s="169"/>
    </row>
    <row r="24" spans="2:16" x14ac:dyDescent="0.45">
      <c r="B24" s="80">
        <v>20</v>
      </c>
      <c r="C24" s="35">
        <f t="shared" si="1"/>
        <v>1</v>
      </c>
      <c r="D24" s="35">
        <f t="shared" si="2"/>
        <v>0</v>
      </c>
      <c r="E24" s="35">
        <f t="shared" si="3"/>
        <v>1</v>
      </c>
      <c r="F24" s="57">
        <f t="shared" si="4"/>
        <v>0</v>
      </c>
      <c r="G24" s="58">
        <f t="shared" si="0"/>
        <v>0</v>
      </c>
      <c r="H24" s="229" t="s">
        <v>58</v>
      </c>
      <c r="I24" s="64" t="s">
        <v>45</v>
      </c>
      <c r="J24" s="66" t="s">
        <v>67</v>
      </c>
      <c r="K24" s="65" t="s">
        <v>64</v>
      </c>
      <c r="L24" s="67" t="s">
        <v>16</v>
      </c>
      <c r="M24" s="75" t="s">
        <v>93</v>
      </c>
    </row>
    <row r="25" spans="2:16" x14ac:dyDescent="0.45">
      <c r="B25" s="81">
        <v>21</v>
      </c>
      <c r="C25" s="14">
        <f t="shared" si="1"/>
        <v>1</v>
      </c>
      <c r="D25" s="14">
        <f t="shared" si="2"/>
        <v>0</v>
      </c>
      <c r="E25" s="14">
        <f t="shared" si="3"/>
        <v>1</v>
      </c>
      <c r="F25" s="59">
        <f t="shared" si="4"/>
        <v>0</v>
      </c>
      <c r="G25" s="15">
        <f t="shared" si="0"/>
        <v>1</v>
      </c>
      <c r="H25" s="231"/>
      <c r="I25" s="70" t="s">
        <v>46</v>
      </c>
      <c r="J25" s="100" t="s">
        <v>67</v>
      </c>
      <c r="K25" s="103" t="s">
        <v>16</v>
      </c>
      <c r="L25" s="101" t="s">
        <v>44</v>
      </c>
      <c r="M25" s="74" t="s">
        <v>94</v>
      </c>
    </row>
    <row r="26" spans="2:16" x14ac:dyDescent="0.45">
      <c r="B26" s="81">
        <v>22</v>
      </c>
      <c r="C26" s="14">
        <f t="shared" si="1"/>
        <v>1</v>
      </c>
      <c r="D26" s="14">
        <f t="shared" si="2"/>
        <v>0</v>
      </c>
      <c r="E26" s="14">
        <f t="shared" si="3"/>
        <v>1</v>
      </c>
      <c r="F26" s="59">
        <f t="shared" si="4"/>
        <v>1</v>
      </c>
      <c r="G26" s="15">
        <f t="shared" si="0"/>
        <v>0</v>
      </c>
      <c r="H26" s="231"/>
      <c r="I26" s="250"/>
      <c r="J26" s="257"/>
      <c r="K26" s="259"/>
      <c r="L26" s="261"/>
      <c r="M26" s="263"/>
    </row>
    <row r="27" spans="2:16" ht="14.65" thickBot="1" x14ac:dyDescent="0.5">
      <c r="B27" s="82">
        <v>23</v>
      </c>
      <c r="C27" s="14">
        <f t="shared" si="1"/>
        <v>1</v>
      </c>
      <c r="D27" s="14">
        <f t="shared" si="2"/>
        <v>0</v>
      </c>
      <c r="E27" s="14">
        <f t="shared" si="3"/>
        <v>1</v>
      </c>
      <c r="F27" s="60">
        <f t="shared" si="4"/>
        <v>1</v>
      </c>
      <c r="G27" s="18">
        <f t="shared" si="0"/>
        <v>1</v>
      </c>
      <c r="H27" s="230"/>
      <c r="I27" s="253"/>
      <c r="J27" s="258"/>
      <c r="K27" s="260"/>
      <c r="L27" s="262"/>
      <c r="M27" s="264"/>
    </row>
    <row r="28" spans="2:16" x14ac:dyDescent="0.45">
      <c r="B28" s="80">
        <v>24</v>
      </c>
      <c r="C28" s="35">
        <f>_xlfn.BITAND(_xlfn.BITRSHIFT($B28,4),1)</f>
        <v>1</v>
      </c>
      <c r="D28" s="35">
        <f>_xlfn.BITAND(_xlfn.BITRSHIFT($B28,3),1)</f>
        <v>1</v>
      </c>
      <c r="E28" s="35">
        <f>_xlfn.BITAND(_xlfn.BITRSHIFT($B28,2),1)</f>
        <v>0</v>
      </c>
      <c r="F28" s="57">
        <f>_xlfn.BITAND(_xlfn.BITRSHIFT($B28,1),1)</f>
        <v>0</v>
      </c>
      <c r="G28" s="58">
        <f>_xlfn.BITAND($B28,1)</f>
        <v>0</v>
      </c>
      <c r="H28" s="229" t="s">
        <v>167</v>
      </c>
      <c r="I28" s="37" t="s">
        <v>51</v>
      </c>
      <c r="J28" s="33" t="s">
        <v>64</v>
      </c>
      <c r="K28" s="53" t="s">
        <v>64</v>
      </c>
      <c r="L28" s="39" t="s">
        <v>62</v>
      </c>
      <c r="M28" s="38" t="s">
        <v>163</v>
      </c>
    </row>
    <row r="29" spans="2:16" x14ac:dyDescent="0.45">
      <c r="B29" s="81">
        <v>25</v>
      </c>
      <c r="C29" s="14">
        <f>_xlfn.BITAND(_xlfn.BITRSHIFT($B29,4),1)</f>
        <v>1</v>
      </c>
      <c r="D29" s="14">
        <f>_xlfn.BITAND(_xlfn.BITRSHIFT($B29,3),1)</f>
        <v>1</v>
      </c>
      <c r="E29" s="14">
        <f>_xlfn.BITAND(_xlfn.BITRSHIFT($B29,2),1)</f>
        <v>0</v>
      </c>
      <c r="F29" s="59">
        <f>_xlfn.BITAND(_xlfn.BITRSHIFT($B29,1),1)</f>
        <v>0</v>
      </c>
      <c r="G29" s="15">
        <f>_xlfn.BITAND($B29,1)</f>
        <v>1</v>
      </c>
      <c r="H29" s="231"/>
      <c r="I29" s="70" t="s">
        <v>52</v>
      </c>
      <c r="J29" s="71" t="s">
        <v>64</v>
      </c>
      <c r="K29" s="72" t="s">
        <v>64</v>
      </c>
      <c r="L29" s="73" t="s">
        <v>63</v>
      </c>
      <c r="M29" s="74" t="s">
        <v>164</v>
      </c>
    </row>
    <row r="30" spans="2:16" x14ac:dyDescent="0.45">
      <c r="B30" s="81">
        <v>26</v>
      </c>
      <c r="C30" s="14">
        <f>_xlfn.BITAND(_xlfn.BITRSHIFT($B30,4),1)</f>
        <v>1</v>
      </c>
      <c r="D30" s="14">
        <f>_xlfn.BITAND(_xlfn.BITRSHIFT($B30,3),1)</f>
        <v>1</v>
      </c>
      <c r="E30" s="14">
        <f>_xlfn.BITAND(_xlfn.BITRSHIFT($B30,2),1)</f>
        <v>0</v>
      </c>
      <c r="F30" s="59">
        <f>_xlfn.BITAND(_xlfn.BITRSHIFT($B30,1),1)</f>
        <v>1</v>
      </c>
      <c r="G30" s="15">
        <f>_xlfn.BITAND($B30,1)</f>
        <v>0</v>
      </c>
      <c r="H30" s="231"/>
      <c r="I30" s="70" t="s">
        <v>53</v>
      </c>
      <c r="J30" s="100" t="s">
        <v>16</v>
      </c>
      <c r="K30" s="72" t="s">
        <v>64</v>
      </c>
      <c r="L30" s="101" t="s">
        <v>44</v>
      </c>
      <c r="M30" s="74" t="s">
        <v>165</v>
      </c>
    </row>
    <row r="31" spans="2:16" ht="14.65" thickBot="1" x14ac:dyDescent="0.5">
      <c r="B31" s="82">
        <v>27</v>
      </c>
      <c r="C31" s="17">
        <f t="shared" si="1"/>
        <v>1</v>
      </c>
      <c r="D31" s="17">
        <f t="shared" si="2"/>
        <v>1</v>
      </c>
      <c r="E31" s="17">
        <f t="shared" si="3"/>
        <v>0</v>
      </c>
      <c r="F31" s="60">
        <f t="shared" si="4"/>
        <v>1</v>
      </c>
      <c r="G31" s="18">
        <f t="shared" si="0"/>
        <v>1</v>
      </c>
      <c r="H31" s="230"/>
      <c r="I31" s="91"/>
      <c r="J31" s="163"/>
      <c r="K31" s="164"/>
      <c r="L31" s="165"/>
      <c r="M31" s="93"/>
    </row>
    <row r="32" spans="2:16" x14ac:dyDescent="0.45">
      <c r="B32" s="81">
        <v>28</v>
      </c>
      <c r="C32" s="35">
        <f t="shared" si="1"/>
        <v>1</v>
      </c>
      <c r="D32" s="35">
        <f t="shared" si="2"/>
        <v>1</v>
      </c>
      <c r="E32" s="35">
        <f t="shared" si="3"/>
        <v>1</v>
      </c>
      <c r="F32" s="57">
        <f t="shared" si="4"/>
        <v>0</v>
      </c>
      <c r="G32" s="58">
        <f t="shared" si="0"/>
        <v>0</v>
      </c>
      <c r="H32" s="231" t="s">
        <v>168</v>
      </c>
      <c r="I32" s="37" t="s">
        <v>51</v>
      </c>
      <c r="J32" s="33" t="s">
        <v>64</v>
      </c>
      <c r="K32" s="53" t="s">
        <v>64</v>
      </c>
      <c r="L32" s="39" t="s">
        <v>62</v>
      </c>
      <c r="M32" s="38" t="s">
        <v>163</v>
      </c>
      <c r="P32" s="1"/>
    </row>
    <row r="33" spans="2:16" x14ac:dyDescent="0.45">
      <c r="B33" s="81">
        <v>29</v>
      </c>
      <c r="C33" s="14">
        <f t="shared" si="1"/>
        <v>1</v>
      </c>
      <c r="D33" s="14">
        <f t="shared" si="2"/>
        <v>1</v>
      </c>
      <c r="E33" s="14">
        <f t="shared" si="3"/>
        <v>1</v>
      </c>
      <c r="F33" s="59">
        <f t="shared" si="4"/>
        <v>0</v>
      </c>
      <c r="G33" s="15">
        <f t="shared" si="0"/>
        <v>1</v>
      </c>
      <c r="H33" s="231"/>
      <c r="I33" s="70" t="s">
        <v>52</v>
      </c>
      <c r="J33" s="71" t="s">
        <v>64</v>
      </c>
      <c r="K33" s="72" t="s">
        <v>64</v>
      </c>
      <c r="L33" s="73" t="s">
        <v>63</v>
      </c>
      <c r="M33" s="74" t="s">
        <v>164</v>
      </c>
      <c r="P33" s="1"/>
    </row>
    <row r="34" spans="2:16" ht="14.65" thickBot="1" x14ac:dyDescent="0.5">
      <c r="B34" s="81">
        <v>30</v>
      </c>
      <c r="C34" s="14">
        <f t="shared" si="1"/>
        <v>1</v>
      </c>
      <c r="D34" s="14">
        <f t="shared" si="2"/>
        <v>1</v>
      </c>
      <c r="E34" s="14">
        <f t="shared" si="3"/>
        <v>1</v>
      </c>
      <c r="F34" s="59">
        <f t="shared" si="4"/>
        <v>1</v>
      </c>
      <c r="G34" s="15">
        <f t="shared" si="0"/>
        <v>0</v>
      </c>
      <c r="H34" s="230"/>
      <c r="I34" s="70" t="s">
        <v>53</v>
      </c>
      <c r="J34" s="100" t="s">
        <v>16</v>
      </c>
      <c r="K34" s="72" t="s">
        <v>64</v>
      </c>
      <c r="L34" s="101" t="s">
        <v>44</v>
      </c>
      <c r="M34" s="74" t="s">
        <v>165</v>
      </c>
      <c r="P34" s="1"/>
    </row>
    <row r="35" spans="2:16" ht="14.65" thickBot="1" x14ac:dyDescent="0.5">
      <c r="B35" s="83">
        <v>31</v>
      </c>
      <c r="C35" s="36">
        <f t="shared" si="1"/>
        <v>1</v>
      </c>
      <c r="D35" s="36">
        <f t="shared" si="2"/>
        <v>1</v>
      </c>
      <c r="E35" s="36">
        <f t="shared" si="3"/>
        <v>1</v>
      </c>
      <c r="F35" s="36">
        <f t="shared" si="4"/>
        <v>1</v>
      </c>
      <c r="G35" s="61">
        <f t="shared" si="0"/>
        <v>1</v>
      </c>
      <c r="H35" s="45" t="s">
        <v>22</v>
      </c>
      <c r="I35" s="45" t="s">
        <v>22</v>
      </c>
      <c r="J35" s="47" t="s">
        <v>64</v>
      </c>
      <c r="K35" s="55" t="s">
        <v>64</v>
      </c>
      <c r="L35" s="166" t="s">
        <v>178</v>
      </c>
      <c r="M35" s="46" t="s">
        <v>111</v>
      </c>
    </row>
  </sheetData>
  <mergeCells count="33">
    <mergeCell ref="H32:H34"/>
    <mergeCell ref="I18:I19"/>
    <mergeCell ref="M18:M19"/>
    <mergeCell ref="I26:I27"/>
    <mergeCell ref="H16:H19"/>
    <mergeCell ref="J16:J19"/>
    <mergeCell ref="K16:K19"/>
    <mergeCell ref="L16:L19"/>
    <mergeCell ref="H20:H23"/>
    <mergeCell ref="J26:J27"/>
    <mergeCell ref="K26:K27"/>
    <mergeCell ref="L26:L27"/>
    <mergeCell ref="M26:M27"/>
    <mergeCell ref="H24:H27"/>
    <mergeCell ref="H28:H31"/>
    <mergeCell ref="M6:M11"/>
    <mergeCell ref="H12:H15"/>
    <mergeCell ref="J12:J15"/>
    <mergeCell ref="K12:K15"/>
    <mergeCell ref="L12:L15"/>
    <mergeCell ref="M12:M15"/>
    <mergeCell ref="I13:I15"/>
    <mergeCell ref="H4:H5"/>
    <mergeCell ref="H6:H11"/>
    <mergeCell ref="J6:J11"/>
    <mergeCell ref="K6:K11"/>
    <mergeCell ref="L6:L11"/>
    <mergeCell ref="I7:I9"/>
    <mergeCell ref="M2:M3"/>
    <mergeCell ref="B2:G2"/>
    <mergeCell ref="H2:H3"/>
    <mergeCell ref="I2:I3"/>
    <mergeCell ref="J2:L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B34D-1176-43D9-83DE-D8E7EA5C96ED}">
  <dimension ref="B1:F11"/>
  <sheetViews>
    <sheetView workbookViewId="0">
      <selection activeCell="A2" sqref="A2"/>
    </sheetView>
  </sheetViews>
  <sheetFormatPr baseColWidth="10" defaultColWidth="9" defaultRowHeight="14.25" x14ac:dyDescent="0.45"/>
  <cols>
    <col min="3" max="5" width="4.73046875" customWidth="1"/>
  </cols>
  <sheetData>
    <row r="1" spans="2:6" ht="14.65" thickBot="1" x14ac:dyDescent="0.5"/>
    <row r="2" spans="2:6" x14ac:dyDescent="0.45">
      <c r="B2" s="226" t="s">
        <v>72</v>
      </c>
      <c r="C2" s="227"/>
      <c r="D2" s="227"/>
      <c r="E2" s="228"/>
      <c r="F2" s="196" t="s">
        <v>32</v>
      </c>
    </row>
    <row r="3" spans="2:6" ht="14.65" thickBot="1" x14ac:dyDescent="0.5">
      <c r="B3" s="12" t="s">
        <v>16</v>
      </c>
      <c r="C3" s="51" t="s">
        <v>36</v>
      </c>
      <c r="D3" s="49" t="s">
        <v>35</v>
      </c>
      <c r="E3" s="50" t="s">
        <v>34</v>
      </c>
      <c r="F3" s="197"/>
    </row>
    <row r="4" spans="2:6" x14ac:dyDescent="0.45">
      <c r="B4" s="13">
        <v>0</v>
      </c>
      <c r="C4" s="57">
        <f>_xlfn.BITAND(_xlfn.BITRSHIFT($B4,2),1)</f>
        <v>0</v>
      </c>
      <c r="D4" s="35">
        <f>_xlfn.BITAND(_xlfn.BITRSHIFT($B4,1),1)</f>
        <v>0</v>
      </c>
      <c r="E4" s="58">
        <f>_xlfn.BITAND(_xlfn.BITRSHIFT($B4,0),1)</f>
        <v>0</v>
      </c>
      <c r="F4" s="25" t="s">
        <v>73</v>
      </c>
    </row>
    <row r="5" spans="2:6" x14ac:dyDescent="0.45">
      <c r="B5" s="13">
        <v>1</v>
      </c>
      <c r="C5" s="59">
        <f t="shared" ref="C5:C11" si="0">_xlfn.BITAND(_xlfn.BITRSHIFT($B5,2),1)</f>
        <v>0</v>
      </c>
      <c r="D5" s="14">
        <f t="shared" ref="D5:D11" si="1">_xlfn.BITAND(_xlfn.BITRSHIFT($B5,1),1)</f>
        <v>0</v>
      </c>
      <c r="E5" s="15">
        <f t="shared" ref="E5:E11" si="2">_xlfn.BITAND(_xlfn.BITRSHIFT($B5,0),1)</f>
        <v>1</v>
      </c>
      <c r="F5" s="25" t="s">
        <v>74</v>
      </c>
    </row>
    <row r="6" spans="2:6" x14ac:dyDescent="0.45">
      <c r="B6" s="19">
        <v>2</v>
      </c>
      <c r="C6" s="76">
        <f t="shared" si="0"/>
        <v>0</v>
      </c>
      <c r="D6" s="20">
        <f t="shared" si="1"/>
        <v>1</v>
      </c>
      <c r="E6" s="21">
        <f t="shared" si="2"/>
        <v>0</v>
      </c>
      <c r="F6" s="27" t="s">
        <v>75</v>
      </c>
    </row>
    <row r="7" spans="2:6" x14ac:dyDescent="0.45">
      <c r="B7" s="22">
        <v>3</v>
      </c>
      <c r="C7" s="77">
        <f t="shared" si="0"/>
        <v>0</v>
      </c>
      <c r="D7" s="23">
        <f t="shared" si="1"/>
        <v>1</v>
      </c>
      <c r="E7" s="24">
        <f t="shared" si="2"/>
        <v>1</v>
      </c>
      <c r="F7" s="29" t="s">
        <v>76</v>
      </c>
    </row>
    <row r="8" spans="2:6" x14ac:dyDescent="0.45">
      <c r="B8" s="13">
        <v>4</v>
      </c>
      <c r="C8" s="59">
        <f t="shared" si="0"/>
        <v>1</v>
      </c>
      <c r="D8" s="14">
        <f t="shared" si="1"/>
        <v>0</v>
      </c>
      <c r="E8" s="15">
        <f t="shared" si="2"/>
        <v>0</v>
      </c>
      <c r="F8" s="25" t="s">
        <v>77</v>
      </c>
    </row>
    <row r="9" spans="2:6" x14ac:dyDescent="0.45">
      <c r="B9" s="13">
        <v>5</v>
      </c>
      <c r="C9" s="59">
        <f t="shared" si="0"/>
        <v>1</v>
      </c>
      <c r="D9" s="14">
        <f t="shared" si="1"/>
        <v>0</v>
      </c>
      <c r="E9" s="15">
        <f t="shared" si="2"/>
        <v>1</v>
      </c>
      <c r="F9" s="25" t="s">
        <v>78</v>
      </c>
    </row>
    <row r="10" spans="2:6" x14ac:dyDescent="0.45">
      <c r="B10" s="19">
        <v>6</v>
      </c>
      <c r="C10" s="76">
        <f t="shared" si="0"/>
        <v>1</v>
      </c>
      <c r="D10" s="20">
        <f t="shared" si="1"/>
        <v>1</v>
      </c>
      <c r="E10" s="21">
        <f t="shared" si="2"/>
        <v>0</v>
      </c>
      <c r="F10" s="27" t="s">
        <v>79</v>
      </c>
    </row>
    <row r="11" spans="2:6" x14ac:dyDescent="0.45">
      <c r="B11" s="22">
        <v>7</v>
      </c>
      <c r="C11" s="77">
        <f t="shared" si="0"/>
        <v>1</v>
      </c>
      <c r="D11" s="23">
        <f t="shared" si="1"/>
        <v>1</v>
      </c>
      <c r="E11" s="24">
        <f t="shared" si="2"/>
        <v>1</v>
      </c>
      <c r="F11" s="29" t="s">
        <v>80</v>
      </c>
    </row>
  </sheetData>
  <mergeCells count="2">
    <mergeCell ref="F2:F3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CCAF-E75B-41F9-A939-BF94359E828F}">
  <dimension ref="B1:R9"/>
  <sheetViews>
    <sheetView workbookViewId="0">
      <selection activeCell="S19" sqref="S19"/>
    </sheetView>
  </sheetViews>
  <sheetFormatPr baseColWidth="10" defaultColWidth="9" defaultRowHeight="14.25" x14ac:dyDescent="0.45"/>
  <cols>
    <col min="2" max="2" width="14.265625" customWidth="1"/>
  </cols>
  <sheetData>
    <row r="1" spans="2:18" ht="14.65" thickBot="1" x14ac:dyDescent="0.5"/>
    <row r="2" spans="2:18" x14ac:dyDescent="0.45">
      <c r="B2" s="196" t="s">
        <v>81</v>
      </c>
      <c r="C2" s="274" t="s">
        <v>31</v>
      </c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6"/>
    </row>
    <row r="3" spans="2:18" ht="14.65" thickBot="1" x14ac:dyDescent="0.5">
      <c r="B3" s="197"/>
      <c r="C3" s="117">
        <v>15</v>
      </c>
      <c r="D3" s="85">
        <v>14</v>
      </c>
      <c r="E3" s="85">
        <v>13</v>
      </c>
      <c r="F3" s="85">
        <v>12</v>
      </c>
      <c r="G3" s="85">
        <v>11</v>
      </c>
      <c r="H3" s="85">
        <v>10</v>
      </c>
      <c r="I3" s="85">
        <v>9</v>
      </c>
      <c r="J3" s="85">
        <v>8</v>
      </c>
      <c r="K3" s="85">
        <v>7</v>
      </c>
      <c r="L3" s="85">
        <v>6</v>
      </c>
      <c r="M3" s="85">
        <v>5</v>
      </c>
      <c r="N3" s="85">
        <v>4</v>
      </c>
      <c r="O3" s="85">
        <v>3</v>
      </c>
      <c r="P3" s="85">
        <v>2</v>
      </c>
      <c r="Q3" s="85">
        <v>1</v>
      </c>
      <c r="R3" s="86">
        <v>0</v>
      </c>
    </row>
    <row r="4" spans="2:18" ht="20.100000000000001" customHeight="1" x14ac:dyDescent="0.45">
      <c r="B4" s="87" t="s">
        <v>82</v>
      </c>
      <c r="C4" s="152"/>
      <c r="D4" s="152"/>
      <c r="E4" s="152"/>
      <c r="F4" s="152"/>
      <c r="G4" s="152"/>
      <c r="H4" s="152"/>
      <c r="I4" s="152"/>
      <c r="J4" s="152"/>
      <c r="K4" s="68" t="s">
        <v>86</v>
      </c>
      <c r="L4" s="68" t="s">
        <v>87</v>
      </c>
      <c r="M4" s="68" t="s">
        <v>88</v>
      </c>
      <c r="N4" s="268" t="s">
        <v>89</v>
      </c>
      <c r="O4" s="268"/>
      <c r="P4" s="268"/>
      <c r="Q4" s="268"/>
      <c r="R4" s="269"/>
    </row>
    <row r="5" spans="2:18" ht="20.100000000000001" customHeight="1" x14ac:dyDescent="0.45">
      <c r="B5" s="88" t="s">
        <v>3</v>
      </c>
      <c r="C5" s="153"/>
      <c r="D5" s="154"/>
      <c r="E5" s="154"/>
      <c r="F5" s="154"/>
      <c r="G5" s="154"/>
      <c r="H5" s="154"/>
      <c r="I5" s="154"/>
      <c r="J5" s="155"/>
      <c r="K5" s="270" t="s">
        <v>85</v>
      </c>
      <c r="L5" s="266"/>
      <c r="M5" s="266"/>
      <c r="N5" s="266"/>
      <c r="O5" s="266"/>
      <c r="P5" s="266"/>
      <c r="Q5" s="266"/>
      <c r="R5" s="267"/>
    </row>
    <row r="6" spans="2:18" ht="20.100000000000001" customHeight="1" x14ac:dyDescent="0.45">
      <c r="B6" s="88" t="s">
        <v>2</v>
      </c>
      <c r="C6" s="153"/>
      <c r="D6" s="154"/>
      <c r="E6" s="154"/>
      <c r="F6" s="154"/>
      <c r="G6" s="154"/>
      <c r="H6" s="154"/>
      <c r="I6" s="154"/>
      <c r="J6" s="155"/>
      <c r="K6" s="270" t="s">
        <v>85</v>
      </c>
      <c r="L6" s="266"/>
      <c r="M6" s="266"/>
      <c r="N6" s="266"/>
      <c r="O6" s="266"/>
      <c r="P6" s="266"/>
      <c r="Q6" s="266"/>
      <c r="R6" s="267"/>
    </row>
    <row r="7" spans="2:18" ht="20.100000000000001" customHeight="1" x14ac:dyDescent="0.45">
      <c r="B7" s="88" t="s">
        <v>83</v>
      </c>
      <c r="C7" s="156"/>
      <c r="D7" s="156"/>
      <c r="E7" s="156"/>
      <c r="F7" s="156"/>
      <c r="G7" s="156"/>
      <c r="H7" s="156"/>
      <c r="I7" s="156"/>
      <c r="J7" s="156"/>
      <c r="K7" s="271" t="s">
        <v>85</v>
      </c>
      <c r="L7" s="272"/>
      <c r="M7" s="272"/>
      <c r="N7" s="272"/>
      <c r="O7" s="272"/>
      <c r="P7" s="272"/>
      <c r="Q7" s="272"/>
      <c r="R7" s="273"/>
    </row>
    <row r="8" spans="2:18" ht="20.100000000000001" customHeight="1" x14ac:dyDescent="0.45">
      <c r="B8" s="88" t="s">
        <v>84</v>
      </c>
      <c r="C8" s="265" t="s">
        <v>150</v>
      </c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7"/>
    </row>
    <row r="9" spans="2:18" ht="20.100000000000001" customHeight="1" thickBot="1" x14ac:dyDescent="0.5">
      <c r="B9" s="89" t="s">
        <v>90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50" t="s">
        <v>88</v>
      </c>
      <c r="Q9" s="150" t="s">
        <v>92</v>
      </c>
      <c r="R9" s="151" t="s">
        <v>91</v>
      </c>
    </row>
  </sheetData>
  <mergeCells count="7">
    <mergeCell ref="C8:R8"/>
    <mergeCell ref="B2:B3"/>
    <mergeCell ref="N4:R4"/>
    <mergeCell ref="K5:R5"/>
    <mergeCell ref="K6:R6"/>
    <mergeCell ref="K7:R7"/>
    <mergeCell ref="C2:R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78FE-3CCF-4749-B213-A95B9184CAE3}">
  <dimension ref="B1:D17"/>
  <sheetViews>
    <sheetView workbookViewId="0">
      <selection activeCell="B12" sqref="B12:B17"/>
    </sheetView>
  </sheetViews>
  <sheetFormatPr baseColWidth="10" defaultColWidth="9" defaultRowHeight="14.25" x14ac:dyDescent="0.45"/>
  <cols>
    <col min="2" max="2" width="21.1328125" customWidth="1"/>
    <col min="3" max="3" width="82.265625" customWidth="1"/>
    <col min="4" max="4" width="44" customWidth="1"/>
  </cols>
  <sheetData>
    <row r="1" spans="2:4" ht="14.65" thickBot="1" x14ac:dyDescent="0.5"/>
    <row r="2" spans="2:4" ht="22.5" customHeight="1" thickBot="1" x14ac:dyDescent="0.5">
      <c r="B2" s="157" t="s">
        <v>152</v>
      </c>
      <c r="C2" s="159" t="s">
        <v>153</v>
      </c>
    </row>
    <row r="3" spans="2:4" x14ac:dyDescent="0.45">
      <c r="B3" s="158" t="s">
        <v>118</v>
      </c>
      <c r="C3" s="38" t="s">
        <v>122</v>
      </c>
    </row>
    <row r="4" spans="2:4" x14ac:dyDescent="0.45">
      <c r="B4" s="160" t="s">
        <v>119</v>
      </c>
      <c r="C4" s="74" t="s">
        <v>123</v>
      </c>
    </row>
    <row r="5" spans="2:4" x14ac:dyDescent="0.45">
      <c r="B5" s="158" t="s">
        <v>125</v>
      </c>
      <c r="C5" s="41" t="s">
        <v>151</v>
      </c>
    </row>
    <row r="6" spans="2:4" x14ac:dyDescent="0.45">
      <c r="B6" s="160" t="s">
        <v>120</v>
      </c>
      <c r="C6" s="74" t="s">
        <v>154</v>
      </c>
    </row>
    <row r="7" spans="2:4" x14ac:dyDescent="0.45">
      <c r="B7" s="158" t="s">
        <v>121</v>
      </c>
      <c r="C7" s="41" t="s">
        <v>124</v>
      </c>
    </row>
    <row r="8" spans="2:4" ht="14.65" thickBot="1" x14ac:dyDescent="0.5">
      <c r="B8" s="161" t="s">
        <v>46</v>
      </c>
      <c r="C8" s="162" t="s">
        <v>155</v>
      </c>
    </row>
    <row r="10" spans="2:4" ht="14.65" thickBot="1" x14ac:dyDescent="0.5"/>
    <row r="11" spans="2:4" ht="14.65" thickBot="1" x14ac:dyDescent="0.5">
      <c r="B11" s="157" t="s">
        <v>152</v>
      </c>
      <c r="C11" s="159" t="s">
        <v>153</v>
      </c>
      <c r="D11" s="159" t="s">
        <v>171</v>
      </c>
    </row>
    <row r="12" spans="2:4" x14ac:dyDescent="0.45">
      <c r="B12" s="160" t="s">
        <v>156</v>
      </c>
      <c r="C12" s="74" t="s">
        <v>157</v>
      </c>
      <c r="D12" s="74" t="s">
        <v>175</v>
      </c>
    </row>
    <row r="13" spans="2:4" x14ac:dyDescent="0.45">
      <c r="B13" s="158" t="s">
        <v>158</v>
      </c>
      <c r="C13" s="41" t="s">
        <v>159</v>
      </c>
      <c r="D13" s="41" t="s">
        <v>172</v>
      </c>
    </row>
    <row r="14" spans="2:4" x14ac:dyDescent="0.45">
      <c r="B14" s="160" t="s">
        <v>160</v>
      </c>
      <c r="C14" s="74" t="s">
        <v>161</v>
      </c>
      <c r="D14" s="74" t="s">
        <v>173</v>
      </c>
    </row>
    <row r="15" spans="2:4" x14ac:dyDescent="0.45">
      <c r="B15" s="160" t="s">
        <v>121</v>
      </c>
      <c r="C15" s="74" t="s">
        <v>166</v>
      </c>
      <c r="D15" s="74" t="s">
        <v>176</v>
      </c>
    </row>
    <row r="16" spans="2:4" x14ac:dyDescent="0.45">
      <c r="B16" s="158" t="s">
        <v>169</v>
      </c>
      <c r="C16" s="41" t="s">
        <v>170</v>
      </c>
      <c r="D16" s="41" t="s">
        <v>177</v>
      </c>
    </row>
    <row r="17" spans="2:4" ht="14.65" thickBot="1" x14ac:dyDescent="0.5">
      <c r="B17" s="161" t="s">
        <v>46</v>
      </c>
      <c r="C17" s="162" t="s">
        <v>162</v>
      </c>
      <c r="D17" s="162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36B2-790A-4A3D-BD75-883CE886D2D8}">
  <dimension ref="B1:E12"/>
  <sheetViews>
    <sheetView workbookViewId="0">
      <selection activeCell="J38" sqref="J38"/>
    </sheetView>
  </sheetViews>
  <sheetFormatPr baseColWidth="10" defaultColWidth="9" defaultRowHeight="14.25" x14ac:dyDescent="0.45"/>
  <cols>
    <col min="4" max="4" width="7.265625" customWidth="1"/>
  </cols>
  <sheetData>
    <row r="1" spans="2:5" ht="14.65" thickBot="1" x14ac:dyDescent="0.5"/>
    <row r="2" spans="2:5" ht="22.5" customHeight="1" x14ac:dyDescent="0.45">
      <c r="B2" s="277" t="s">
        <v>141</v>
      </c>
      <c r="C2" s="278"/>
      <c r="D2" s="1"/>
    </row>
    <row r="3" spans="2:5" ht="24.75" customHeight="1" thickBot="1" x14ac:dyDescent="0.5">
      <c r="B3" s="140" t="s">
        <v>139</v>
      </c>
      <c r="C3" s="147" t="s">
        <v>140</v>
      </c>
      <c r="D3" s="1"/>
    </row>
    <row r="4" spans="2:5" x14ac:dyDescent="0.45">
      <c r="B4" s="92"/>
      <c r="C4" s="131" t="s">
        <v>143</v>
      </c>
      <c r="D4" s="279" t="s">
        <v>148</v>
      </c>
    </row>
    <row r="5" spans="2:5" x14ac:dyDescent="0.45">
      <c r="B5" s="94"/>
      <c r="C5" s="132" t="s">
        <v>142</v>
      </c>
      <c r="D5" s="280"/>
    </row>
    <row r="6" spans="2:5" ht="14.65" thickBot="1" x14ac:dyDescent="0.5">
      <c r="B6" s="134"/>
      <c r="C6" s="63" t="s">
        <v>144</v>
      </c>
      <c r="D6" s="281"/>
    </row>
    <row r="7" spans="2:5" x14ac:dyDescent="0.45">
      <c r="B7" s="141" t="s">
        <v>143</v>
      </c>
      <c r="C7" s="142"/>
      <c r="D7" s="282" t="s">
        <v>149</v>
      </c>
    </row>
    <row r="8" spans="2:5" x14ac:dyDescent="0.45">
      <c r="B8" s="40" t="s">
        <v>142</v>
      </c>
      <c r="C8" s="143"/>
      <c r="D8" s="283"/>
    </row>
    <row r="9" spans="2:5" x14ac:dyDescent="0.45">
      <c r="B9" s="40" t="s">
        <v>144</v>
      </c>
      <c r="C9" s="143"/>
      <c r="D9" s="283"/>
    </row>
    <row r="10" spans="2:5" x14ac:dyDescent="0.45">
      <c r="B10" s="144" t="s">
        <v>145</v>
      </c>
      <c r="C10" s="145" t="s">
        <v>145</v>
      </c>
      <c r="D10" s="283"/>
    </row>
    <row r="11" spans="2:5" x14ac:dyDescent="0.45">
      <c r="B11" s="40" t="s">
        <v>142</v>
      </c>
      <c r="C11" s="132" t="s">
        <v>142</v>
      </c>
      <c r="D11" s="283"/>
      <c r="E11" s="1"/>
    </row>
    <row r="12" spans="2:5" ht="14.65" thickBot="1" x14ac:dyDescent="0.5">
      <c r="B12" s="146" t="s">
        <v>146</v>
      </c>
      <c r="C12" s="63" t="s">
        <v>146</v>
      </c>
      <c r="D12" s="284"/>
    </row>
  </sheetData>
  <mergeCells count="3">
    <mergeCell ref="B2:C2"/>
    <mergeCell ref="D4:D6"/>
    <mergeCell ref="D7:D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29D2-349C-45CC-BF5A-2F605D047162}">
  <dimension ref="B1:D40"/>
  <sheetViews>
    <sheetView workbookViewId="0">
      <selection activeCell="E14" sqref="E14"/>
    </sheetView>
  </sheetViews>
  <sheetFormatPr baseColWidth="10" defaultColWidth="9.06640625" defaultRowHeight="14.25" x14ac:dyDescent="0.45"/>
  <cols>
    <col min="3" max="4" width="38.59765625" customWidth="1"/>
  </cols>
  <sheetData>
    <row r="1" spans="2:4" ht="14.65" thickBot="1" x14ac:dyDescent="0.5"/>
    <row r="2" spans="2:4" x14ac:dyDescent="0.45">
      <c r="B2" s="285" t="s">
        <v>195</v>
      </c>
      <c r="C2" s="287" t="s">
        <v>194</v>
      </c>
      <c r="D2" s="288"/>
    </row>
    <row r="3" spans="2:4" ht="14.65" thickBot="1" x14ac:dyDescent="0.5">
      <c r="B3" s="286"/>
      <c r="C3" s="186" t="s">
        <v>191</v>
      </c>
      <c r="D3" s="187" t="s">
        <v>192</v>
      </c>
    </row>
    <row r="4" spans="2:4" ht="22.5" customHeight="1" x14ac:dyDescent="0.45">
      <c r="B4" s="88">
        <v>0</v>
      </c>
      <c r="C4" s="144" t="s">
        <v>199</v>
      </c>
      <c r="D4" s="242" t="s">
        <v>189</v>
      </c>
    </row>
    <row r="5" spans="2:4" ht="22.5" customHeight="1" x14ac:dyDescent="0.45">
      <c r="B5" s="178">
        <v>1</v>
      </c>
      <c r="C5" s="191" t="s">
        <v>200</v>
      </c>
      <c r="D5" s="289"/>
    </row>
    <row r="6" spans="2:4" ht="22.5" customHeight="1" x14ac:dyDescent="0.45">
      <c r="B6" s="88">
        <v>2</v>
      </c>
      <c r="C6" s="291" t="s">
        <v>196</v>
      </c>
      <c r="D6" s="290" t="s">
        <v>193</v>
      </c>
    </row>
    <row r="7" spans="2:4" ht="22.5" customHeight="1" x14ac:dyDescent="0.45">
      <c r="B7" s="178">
        <v>3</v>
      </c>
      <c r="C7" s="232"/>
      <c r="D7" s="236"/>
    </row>
    <row r="8" spans="2:4" ht="22.5" customHeight="1" x14ac:dyDescent="0.45">
      <c r="B8" s="88">
        <v>4</v>
      </c>
      <c r="C8" s="292"/>
      <c r="D8" s="289"/>
    </row>
    <row r="9" spans="2:4" ht="22.5" customHeight="1" x14ac:dyDescent="0.45">
      <c r="B9" s="178">
        <v>5</v>
      </c>
      <c r="C9" s="94"/>
      <c r="D9" s="180"/>
    </row>
    <row r="10" spans="2:4" ht="22.5" customHeight="1" x14ac:dyDescent="0.45">
      <c r="B10" s="88">
        <v>6</v>
      </c>
      <c r="C10" s="137"/>
      <c r="D10" s="143"/>
    </row>
    <row r="11" spans="2:4" ht="22.5" customHeight="1" thickBot="1" x14ac:dyDescent="0.5">
      <c r="B11" s="179">
        <v>7</v>
      </c>
      <c r="C11" s="134"/>
      <c r="D11" s="181" t="s">
        <v>201</v>
      </c>
    </row>
    <row r="13" spans="2:4" ht="14.65" thickBot="1" x14ac:dyDescent="0.5"/>
    <row r="14" spans="2:4" ht="22.5" customHeight="1" thickBot="1" x14ac:dyDescent="0.5">
      <c r="B14" s="188" t="s">
        <v>197</v>
      </c>
      <c r="C14" s="189" t="s">
        <v>196</v>
      </c>
    </row>
    <row r="15" spans="2:4" x14ac:dyDescent="0.45">
      <c r="B15" s="88">
        <v>0</v>
      </c>
      <c r="C15" s="26" t="s">
        <v>182</v>
      </c>
    </row>
    <row r="16" spans="2:4" x14ac:dyDescent="0.45">
      <c r="B16" s="178">
        <v>1</v>
      </c>
      <c r="C16" s="182" t="s">
        <v>185</v>
      </c>
    </row>
    <row r="17" spans="2:3" x14ac:dyDescent="0.45">
      <c r="B17" s="88">
        <v>2</v>
      </c>
      <c r="C17" s="26" t="s">
        <v>198</v>
      </c>
    </row>
    <row r="18" spans="2:3" x14ac:dyDescent="0.45">
      <c r="B18" s="178">
        <v>3</v>
      </c>
      <c r="C18" s="182" t="s">
        <v>183</v>
      </c>
    </row>
    <row r="19" spans="2:3" x14ac:dyDescent="0.45">
      <c r="B19" s="88">
        <v>4</v>
      </c>
      <c r="C19" s="26" t="s">
        <v>184</v>
      </c>
    </row>
    <row r="20" spans="2:3" x14ac:dyDescent="0.45">
      <c r="B20" s="178">
        <v>5</v>
      </c>
      <c r="C20" s="182"/>
    </row>
    <row r="21" spans="2:3" x14ac:dyDescent="0.45">
      <c r="B21" s="88">
        <v>6</v>
      </c>
      <c r="C21" s="26"/>
    </row>
    <row r="22" spans="2:3" ht="14.65" thickBot="1" x14ac:dyDescent="0.5">
      <c r="B22" s="179">
        <v>7</v>
      </c>
      <c r="C22" s="185"/>
    </row>
    <row r="23" spans="2:3" x14ac:dyDescent="0.45">
      <c r="B23" s="1"/>
    </row>
    <row r="24" spans="2:3" ht="14.65" thickBot="1" x14ac:dyDescent="0.5">
      <c r="B24" s="1"/>
    </row>
    <row r="25" spans="2:3" ht="22.5" customHeight="1" thickBot="1" x14ac:dyDescent="0.5">
      <c r="B25" s="188" t="s">
        <v>197</v>
      </c>
      <c r="C25" s="189" t="s">
        <v>189</v>
      </c>
    </row>
    <row r="26" spans="2:3" x14ac:dyDescent="0.45">
      <c r="B26" s="88">
        <v>0</v>
      </c>
      <c r="C26" s="26" t="s">
        <v>186</v>
      </c>
    </row>
    <row r="27" spans="2:3" x14ac:dyDescent="0.45">
      <c r="B27" s="178">
        <v>1</v>
      </c>
      <c r="C27" s="182" t="s">
        <v>187</v>
      </c>
    </row>
    <row r="28" spans="2:3" x14ac:dyDescent="0.45">
      <c r="B28" s="88">
        <v>2</v>
      </c>
      <c r="C28" s="26" t="s">
        <v>188</v>
      </c>
    </row>
    <row r="29" spans="2:3" ht="14.65" thickBot="1" x14ac:dyDescent="0.5">
      <c r="B29" s="183">
        <v>3</v>
      </c>
      <c r="C29" s="184" t="s">
        <v>190</v>
      </c>
    </row>
    <row r="31" spans="2:3" ht="14.65" thickBot="1" x14ac:dyDescent="0.5"/>
    <row r="32" spans="2:3" ht="22.5" customHeight="1" thickBot="1" x14ac:dyDescent="0.5">
      <c r="B32" s="188" t="s">
        <v>197</v>
      </c>
      <c r="C32" s="189" t="s">
        <v>193</v>
      </c>
    </row>
    <row r="33" spans="2:3" x14ac:dyDescent="0.45">
      <c r="B33" s="88">
        <v>0</v>
      </c>
      <c r="C33" s="26" t="s">
        <v>156</v>
      </c>
    </row>
    <row r="34" spans="2:3" x14ac:dyDescent="0.45">
      <c r="B34" s="178">
        <v>1</v>
      </c>
      <c r="C34" s="182" t="s">
        <v>158</v>
      </c>
    </row>
    <row r="35" spans="2:3" x14ac:dyDescent="0.45">
      <c r="B35" s="88">
        <v>2</v>
      </c>
      <c r="C35" s="26" t="s">
        <v>160</v>
      </c>
    </row>
    <row r="36" spans="2:3" x14ac:dyDescent="0.45">
      <c r="B36" s="178">
        <v>3</v>
      </c>
      <c r="C36" s="182" t="s">
        <v>121</v>
      </c>
    </row>
    <row r="37" spans="2:3" x14ac:dyDescent="0.45">
      <c r="B37" s="88">
        <v>4</v>
      </c>
      <c r="C37" s="26" t="s">
        <v>169</v>
      </c>
    </row>
    <row r="38" spans="2:3" x14ac:dyDescent="0.45">
      <c r="B38" s="178">
        <v>5</v>
      </c>
      <c r="C38" s="182" t="s">
        <v>46</v>
      </c>
    </row>
    <row r="39" spans="2:3" x14ac:dyDescent="0.45">
      <c r="B39" s="91">
        <v>6</v>
      </c>
      <c r="C39" s="190" t="s">
        <v>190</v>
      </c>
    </row>
    <row r="40" spans="2:3" ht="14.65" thickBot="1" x14ac:dyDescent="0.5">
      <c r="B40" s="183">
        <v>7</v>
      </c>
      <c r="C40" s="184" t="s">
        <v>190</v>
      </c>
    </row>
  </sheetData>
  <mergeCells count="5">
    <mergeCell ref="B2:B3"/>
    <mergeCell ref="C2:D2"/>
    <mergeCell ref="D4:D5"/>
    <mergeCell ref="D6:D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registers</vt:lpstr>
      <vt:lpstr>instructions</vt:lpstr>
      <vt:lpstr>operations</vt:lpstr>
      <vt:lpstr>operations_lite</vt:lpstr>
      <vt:lpstr>condition</vt:lpstr>
      <vt:lpstr>bus</vt:lpstr>
      <vt:lpstr>cycle</vt:lpstr>
      <vt:lpstr>memory</vt:lpstr>
      <vt:lpstr>seq-brg 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Smek</dc:creator>
  <cp:lastModifiedBy>Oliver Seiter</cp:lastModifiedBy>
  <dcterms:created xsi:type="dcterms:W3CDTF">2025-05-19T16:53:52Z</dcterms:created>
  <dcterms:modified xsi:type="dcterms:W3CDTF">2025-09-04T08:58:22Z</dcterms:modified>
</cp:coreProperties>
</file>