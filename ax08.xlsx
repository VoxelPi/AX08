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"/>
    </mc:Choice>
  </mc:AlternateContent>
  <xr:revisionPtr revIDLastSave="0" documentId="13_ncr:1_{2C5E4F78-A1C7-4759-B290-A9B1BA735748}" xr6:coauthVersionLast="47" xr6:coauthVersionMax="47" xr10:uidLastSave="{00000000-0000-0000-0000-000000000000}"/>
  <bookViews>
    <workbookView xWindow="-120" yWindow="-120" windowWidth="29040" windowHeight="16440" activeTab="8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<sst xmlns="http://schemas.openxmlformats.org/spreadsheetml/2006/main" count="409" uniqueCount="201">
  <si>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</si>
  <si>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</si>
  <si>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</si>
  <si>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</si>
  <si>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</si>
  <si>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</si>
  <si>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</si>
  <si>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</si>
  <si>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</si>
  <si>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</si>
  <si>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</si>
  <si>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</si>
  <si>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</si>
  <si>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</si>
  <si>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</si>
  <si>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</si>
  <si>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</si>
  <si>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BIT GET</t>
  </si>
  <si>
    <t>bit</t>
  </si>
  <si>
    <t>BIT SET</t>
  </si>
  <si>
    <t>BIT CLEAR</t>
  </si>
  <si>
    <t>BIT TOGGLE</t>
  </si>
  <si>
    <t>BREAK</t>
  </si>
  <si>
    <t>JUMP</t>
  </si>
  <si>
    <t>RETURN</t>
  </si>
  <si>
    <t>CALL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</si>
  <si>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</si>
  <si>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</si>
  <si>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</si>
  <si>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</si>
  <si>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</si>
  <si>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</si>
  <si>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</si>
  <si>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</si>
  <si>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</si>
  <si>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</si>
  <si>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</si>
  <si>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</si>
  <si>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</si>
  <si>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</si>
  <si>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</si>
  <si>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</si>
  <si>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</si>
  <si>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</si>
  <si>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</si>
  <si>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</si>
  <si>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</si>
  <si>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</si>
  <si>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</si>
  <si>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</si>
  <si>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</si>
  <si>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</si>
  <si>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</si>
  <si>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</si>
  <si>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</si>
  <si>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</si>
  <si>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</si>
  <si>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BITWISE</t>
  </si>
  <si>
    <t>MEMORY</t>
  </si>
  <si>
    <t>STACK</t>
  </si>
  <si>
    <t>IO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</si>
  <si>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</si>
  <si>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</si>
  <si>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</si>
  <si>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</si>
  <si>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</si>
  <si>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</si>
  <si>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</si>
  <si>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address [8..15]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</si>
  <si>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</si>
  <si>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</si>
  <si>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</si>
  <si>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</si>
  <si>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</si>
  <si>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</si>
  <si>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</si>
  <si>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</si>
  <si>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</si>
  <si>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</si>
  <si>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</si>
  <si>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</si>
  <si>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</si>
  <si>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</si>
  <si>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</si>
  <si>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</si>
  <si>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</si>
  <si>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</si>
  <si>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</si>
  <si>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</si>
  <si>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</si>
  <si>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</si>
  <si>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</si>
  <si>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</si>
  <si>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</si>
  <si>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</si>
  <si>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</si>
  <si>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</si>
  <si>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</si>
  <si>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Returns 1 if the given bit of the given value is set otherwise 0. Also 0 if bit ∉ [0..7].</t>
  </si>
  <si>
    <t>Takes the given value, sets the given bit to 1 and return the result. If bit ∉ [0..7] value is returned.</t>
  </si>
  <si>
    <t>Takes the given value, clears the given bit to 0 and returns the result. If bit ∉ [0..7] value is returned.</t>
  </si>
  <si>
    <t>Takes the given value, flips the given bit and returns the result. If bit ∉ [0..7] value is returned.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</si>
  <si>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</si>
  <si>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</si>
  <si>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</si>
  <si>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</si>
  <si>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</si>
  <si>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</si>
  <si>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</si>
  <si>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Stores the PC + 1 on the stack and writes the combined 16bit value of A and B on the PC</t>
  </si>
  <si>
    <t>Pops a value from the stack and writes it to the PC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</si>
  <si>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</si>
  <si>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</si>
  <si>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</si>
  <si>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</si>
  <si>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</si>
  <si>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</si>
  <si>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</si>
  <si>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FETCH</t>
  </si>
  <si>
    <t>DECODE</t>
  </si>
  <si>
    <t>EXECUTE</t>
  </si>
  <si>
    <t>INCREMENT</t>
  </si>
  <si>
    <t>Load next instruction at PC</t>
  </si>
  <si>
    <t xml:space="preserve">Set A Immediate value / A address, B immediate value / B address, C address, output address, </t>
  </si>
  <si>
    <t>Increment PC &amp; Buffer Output</t>
  </si>
  <si>
    <t>CONDITION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</si>
  <si>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</si>
  <si>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</si>
  <si>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</si>
  <si>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</si>
  <si>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</si>
  <si>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</si>
  <si>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</si>
  <si>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</si>
  <si>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</si>
  <si>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</si>
  <si>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</si>
  <si>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</si>
  <si>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</si>
  <si>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</si>
  <si>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</si>
  <si>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</si>
  <si>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</si>
  <si>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</si>
  <si>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</si>
  <si>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</si>
  <si>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</si>
  <si>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</si>
  <si>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</si>
  <si>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</si>
  <si>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</si>
  <si>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Evaluates the condition</t>
  </si>
  <si>
    <t>STEP</t>
  </si>
  <si>
    <t>Description</t>
  </si>
  <si>
    <t>Set OPCODE If condition is met</t>
  </si>
  <si>
    <t>Write output to selected register if condition is met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</si>
  <si>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</si>
  <si>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</si>
  <si>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</si>
  <si>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</si>
  <si>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</si>
  <si>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</si>
  <si>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</si>
  <si>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</si>
  <si>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</si>
  <si>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</si>
  <si>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Updates PC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</si>
  <si>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</si>
  <si>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</si>
  <si>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</si>
  <si>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</si>
  <si>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</si>
  <si>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</si>
  <si>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HOLD ↑, PC_SOURCE_INC ↑, (FREEZE_OP ↓)</t>
  </si>
  <si>
    <t>STORE ↑</t>
  </si>
  <si>
    <t>FREEZE_WRD ↑, (STORE ↓)</t>
  </si>
  <si>
    <t>AD_RGSET_OVERRIDE ↑, (HOLD ↓)</t>
  </si>
  <si>
    <t>PC_SOURCE_INC ↓, AD_RGSET_OVERRIDE ↓</t>
  </si>
  <si>
    <t>OVERRIDDEN</t>
  </si>
  <si>
    <t>"""BITWISE"""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</si>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</sst>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10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38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11" borderId="56" xfId="0" applyFill="1" applyBorder="1" applyAlignment="1">
      <alignment horizont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9" borderId="5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41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5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>
      <selection activeCell="C12" sqref="C12:C19"/>
    </sheetView>
  </sheetViews>
  <sheetFormatPr defaultColWidth="9" defaultRowHeight="15" x14ac:dyDescent="0.25"/>
  <cols>
    <col min="3" max="6" width="4.7109375" style="1" customWidth="1"/>
    <col min="7" max="9" width="9.140625" customWidth="1"/>
    <col min="10" max="10" width="34.28515625" customWidth="1"/>
  </cols>
  <sheetData>
    <row r="1" spans="2:10" ht="15.75" thickBot="1" x14ac:dyDescent="0.3"/>
    <row r="2" spans="2:10" x14ac:dyDescent="0.25">
      <c r="B2" s="181" t="s">
        <v>15</v>
      </c>
      <c r="C2" s="182"/>
      <c r="D2" s="182"/>
      <c r="E2" s="182"/>
      <c r="F2" s="183"/>
      <c r="G2" s="186" t="s">
        <v>32</v>
      </c>
      <c r="H2" s="187"/>
      <c r="I2" s="188"/>
      <c r="J2" s="184" t="s">
        <v>33</v>
      </c>
    </row>
    <row r="3" spans="2:10" ht="15.75" thickBot="1" x14ac:dyDescent="0.3">
      <c r="B3" s="57" t="s">
        <v>16</v>
      </c>
      <c r="C3" s="52" t="s">
        <v>37</v>
      </c>
      <c r="D3" s="50" t="s">
        <v>36</v>
      </c>
      <c r="E3" s="50" t="s">
        <v>35</v>
      </c>
      <c r="F3" s="51" t="s">
        <v>34</v>
      </c>
      <c r="G3" s="118" t="s">
        <v>52</v>
      </c>
      <c r="H3" s="53" t="s">
        <v>53</v>
      </c>
      <c r="I3" s="51" t="s">
        <v>138</v>
      </c>
      <c r="J3" s="185"/>
    </row>
    <row r="4" spans="2:10" x14ac:dyDescent="0.25">
      <c r="B4" s="107">
        <v>0</v>
      </c>
      <c r="C4" s="58">
        <f>_xlfn.BITAND(_xlfn.BITRSHIFT($B4,3),1)</f>
        <v>0</v>
      </c>
      <c r="D4" s="36">
        <f>_xlfn.BITAND(_xlfn.BITRSHIFT($B4,2),1)</f>
        <v>0</v>
      </c>
      <c r="E4" s="36">
        <f>_xlfn.BITAND(_xlfn.BITRSHIFT($B4,1),1)</f>
        <v>0</v>
      </c>
      <c r="F4" s="59">
        <f>_xlfn.BITAND(_xlfn.BITRSHIFT($B4,0),1)</f>
        <v>0</v>
      </c>
      <c r="G4" s="119" t="s">
        <v>126</v>
      </c>
      <c r="H4" s="126" t="s">
        <v>126</v>
      </c>
      <c r="I4" s="110" t="s">
        <v>126</v>
      </c>
      <c r="J4" s="108" t="s">
        <v>38</v>
      </c>
    </row>
    <row r="5" spans="2:10" x14ac:dyDescent="0.25">
      <c r="B5" s="13">
        <v>1</v>
      </c>
      <c r="C5" s="60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20" t="s">
        <v>127</v>
      </c>
      <c r="H5" s="127" t="s">
        <v>127</v>
      </c>
      <c r="I5" s="111" t="s">
        <v>127</v>
      </c>
      <c r="J5" s="26" t="s">
        <v>38</v>
      </c>
    </row>
    <row r="6" spans="2:10" x14ac:dyDescent="0.25">
      <c r="B6" s="19">
        <v>2</v>
      </c>
      <c r="C6" s="77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21" t="s">
        <v>128</v>
      </c>
      <c r="H6" s="128" t="s">
        <v>128</v>
      </c>
      <c r="I6" s="112" t="s">
        <v>128</v>
      </c>
      <c r="J6" s="28" t="s">
        <v>38</v>
      </c>
    </row>
    <row r="7" spans="2:10" x14ac:dyDescent="0.25">
      <c r="B7" s="22">
        <v>3</v>
      </c>
      <c r="C7" s="78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2" t="s">
        <v>129</v>
      </c>
      <c r="H7" s="129" t="s">
        <v>129</v>
      </c>
      <c r="I7" s="113" t="s">
        <v>129</v>
      </c>
      <c r="J7" s="30" t="s">
        <v>38</v>
      </c>
    </row>
    <row r="8" spans="2:10" x14ac:dyDescent="0.25">
      <c r="B8" s="13">
        <v>4</v>
      </c>
      <c r="C8" s="60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20" t="s">
        <v>130</v>
      </c>
      <c r="H8" s="127" t="s">
        <v>130</v>
      </c>
      <c r="I8" s="111" t="s">
        <v>130</v>
      </c>
      <c r="J8" s="26" t="s">
        <v>38</v>
      </c>
    </row>
    <row r="9" spans="2:10" x14ac:dyDescent="0.25">
      <c r="B9" s="13">
        <v>5</v>
      </c>
      <c r="C9" s="60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20" t="s">
        <v>131</v>
      </c>
      <c r="H9" s="127" t="s">
        <v>131</v>
      </c>
      <c r="I9" s="111" t="s">
        <v>131</v>
      </c>
      <c r="J9" s="26" t="s">
        <v>38</v>
      </c>
    </row>
    <row r="10" spans="2:10" x14ac:dyDescent="0.25">
      <c r="B10" s="19">
        <v>6</v>
      </c>
      <c r="C10" s="77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21" t="s">
        <v>132</v>
      </c>
      <c r="H10" s="128" t="s">
        <v>132</v>
      </c>
      <c r="I10" s="112" t="s">
        <v>132</v>
      </c>
      <c r="J10" s="28" t="s">
        <v>38</v>
      </c>
    </row>
    <row r="11" spans="2:10" x14ac:dyDescent="0.25">
      <c r="B11" s="22">
        <v>7</v>
      </c>
      <c r="C11" s="78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2" t="s">
        <v>133</v>
      </c>
      <c r="H11" s="129" t="s">
        <v>133</v>
      </c>
      <c r="I11" s="113" t="s">
        <v>133</v>
      </c>
      <c r="J11" s="30" t="s">
        <v>38</v>
      </c>
    </row>
    <row r="12" spans="2:10" x14ac:dyDescent="0.25">
      <c r="B12" s="13">
        <v>8</v>
      </c>
      <c r="C12" s="60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21" t="s">
        <v>134</v>
      </c>
      <c r="H12" s="151" t="s">
        <v>147</v>
      </c>
      <c r="I12" s="116"/>
      <c r="J12" s="28" t="s">
        <v>39</v>
      </c>
    </row>
    <row r="13" spans="2:10" x14ac:dyDescent="0.25">
      <c r="B13" s="13">
        <v>9</v>
      </c>
      <c r="C13" s="60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20" t="s">
        <v>135</v>
      </c>
      <c r="H13" s="152"/>
      <c r="I13" s="115"/>
      <c r="J13" s="26" t="s">
        <v>40</v>
      </c>
    </row>
    <row r="14" spans="2:10" x14ac:dyDescent="0.25">
      <c r="B14" s="19">
        <v>10</v>
      </c>
      <c r="C14" s="77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4"/>
      <c r="H14" s="130"/>
      <c r="I14" s="116"/>
      <c r="J14" s="32"/>
    </row>
    <row r="15" spans="2:10" x14ac:dyDescent="0.25">
      <c r="B15" s="22">
        <v>11</v>
      </c>
      <c r="C15" s="78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2" t="s">
        <v>136</v>
      </c>
      <c r="H15" s="142" t="s">
        <v>136</v>
      </c>
      <c r="I15" s="114"/>
      <c r="J15" s="30" t="s">
        <v>137</v>
      </c>
    </row>
    <row r="16" spans="2:10" x14ac:dyDescent="0.25">
      <c r="B16" s="13">
        <v>12</v>
      </c>
      <c r="C16" s="60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23"/>
      <c r="H16" s="131"/>
      <c r="I16" s="115"/>
      <c r="J16" s="31"/>
    </row>
    <row r="17" spans="2:10" x14ac:dyDescent="0.25">
      <c r="B17" s="13">
        <v>13</v>
      </c>
      <c r="C17" s="60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23"/>
      <c r="H17" s="131"/>
      <c r="I17" s="115"/>
      <c r="J17" s="31"/>
    </row>
    <row r="18" spans="2:10" x14ac:dyDescent="0.25">
      <c r="B18" s="19">
        <v>14</v>
      </c>
      <c r="C18" s="77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4"/>
      <c r="H18" s="130"/>
      <c r="I18" s="116"/>
      <c r="J18" s="32"/>
    </row>
    <row r="19" spans="2:10" ht="15.75" thickBot="1" x14ac:dyDescent="0.3">
      <c r="B19" s="16">
        <v>15</v>
      </c>
      <c r="C19" s="61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5"/>
      <c r="H19" s="132"/>
      <c r="I19" s="117"/>
      <c r="J19" s="109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topLeftCell="B1" workbookViewId="0">
      <selection activeCell="H3" sqref="C3:J3"/>
    </sheetView>
  </sheetViews>
  <sheetFormatPr defaultColWidth="9" defaultRowHeight="15" x14ac:dyDescent="0.25"/>
  <cols>
    <col min="3" max="34" width="7.7109375" customWidth="1"/>
  </cols>
  <sheetData>
    <row r="1" spans="2:34" ht="15.75" thickBot="1" x14ac:dyDescent="0.3"/>
    <row r="2" spans="2:34" ht="15.75" thickBot="1" x14ac:dyDescent="0.3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5.75" thickBot="1" x14ac:dyDescent="0.3">
      <c r="C3" s="198" t="s">
        <v>4</v>
      </c>
      <c r="D3" s="199"/>
      <c r="E3" s="199"/>
      <c r="F3" s="199"/>
      <c r="G3" s="200"/>
      <c r="H3" s="195" t="s">
        <v>97</v>
      </c>
      <c r="I3" s="196"/>
      <c r="J3" s="197"/>
      <c r="K3" s="195" t="s">
        <v>96</v>
      </c>
      <c r="L3" s="196"/>
      <c r="M3" s="196"/>
      <c r="N3" s="207" t="s">
        <v>95</v>
      </c>
      <c r="O3" s="208"/>
      <c r="P3" s="209"/>
      <c r="Q3" s="11" t="s">
        <v>0</v>
      </c>
      <c r="R3" s="10" t="s">
        <v>1</v>
      </c>
      <c r="S3" s="201" t="s">
        <v>28</v>
      </c>
      <c r="T3" s="202"/>
      <c r="U3" s="202"/>
      <c r="V3" s="202"/>
      <c r="W3" s="202"/>
      <c r="X3" s="202"/>
      <c r="Y3" s="202"/>
      <c r="Z3" s="203"/>
      <c r="AA3" s="204" t="s">
        <v>29</v>
      </c>
      <c r="AB3" s="205"/>
      <c r="AC3" s="205"/>
      <c r="AD3" s="205"/>
      <c r="AE3" s="205"/>
      <c r="AF3" s="205"/>
      <c r="AG3" s="205"/>
      <c r="AH3" s="206"/>
    </row>
    <row r="4" spans="2:34" ht="15.75" thickBot="1" x14ac:dyDescent="0.3"/>
    <row r="5" spans="2:34" x14ac:dyDescent="0.25">
      <c r="B5" s="212" t="s">
        <v>30</v>
      </c>
      <c r="C5" s="210" t="s">
        <v>31</v>
      </c>
      <c r="D5" s="210"/>
      <c r="E5" s="210"/>
      <c r="F5" s="210"/>
      <c r="G5" s="210"/>
      <c r="H5" s="210"/>
      <c r="I5" s="210"/>
      <c r="J5" s="211"/>
    </row>
    <row r="6" spans="2:34" ht="15.75" thickBot="1" x14ac:dyDescent="0.3">
      <c r="B6" s="213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25">
      <c r="B7" s="9">
        <v>0</v>
      </c>
      <c r="C7" s="189" t="s">
        <v>26</v>
      </c>
      <c r="D7" s="190"/>
      <c r="E7" s="190"/>
      <c r="F7" s="190"/>
      <c r="G7" s="190"/>
      <c r="H7" s="190"/>
      <c r="I7" s="190"/>
      <c r="J7" s="191"/>
    </row>
    <row r="8" spans="2:34" ht="15.75" thickBot="1" x14ac:dyDescent="0.3">
      <c r="B8" s="6">
        <v>1</v>
      </c>
      <c r="C8" s="8"/>
      <c r="D8" s="8"/>
      <c r="E8" s="8"/>
      <c r="F8" s="8"/>
      <c r="G8" s="192" t="s">
        <v>27</v>
      </c>
      <c r="H8" s="193"/>
      <c r="I8" s="193"/>
      <c r="J8" s="194"/>
    </row>
  </sheetData>
  <mergeCells count="10">
    <mergeCell ref="S3:Z3"/>
    <mergeCell ref="AA3:AH3"/>
    <mergeCell ref="N3:P3"/>
    <mergeCell ref="C5:J5"/>
    <mergeCell ref="B5:B6"/>
    <mergeCell ref="C7:J7"/>
    <mergeCell ref="G8:J8"/>
    <mergeCell ref="K3:M3"/>
    <mergeCell ref="H3:J3"/>
    <mergeCell ref="C3:G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workbookViewId="0">
      <selection activeCell="H20" sqref="H20:H23"/>
    </sheetView>
  </sheetViews>
  <sheetFormatPr defaultColWidth="9" defaultRowHeight="15" x14ac:dyDescent="0.25"/>
  <cols>
    <col min="2" max="2" width="9.140625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14" customWidth="1"/>
    <col min="14" max="14" width="90.28515625" customWidth="1"/>
  </cols>
  <sheetData>
    <row r="1" spans="2:14" ht="15.75" thickBot="1" x14ac:dyDescent="0.3"/>
    <row r="2" spans="2:14" x14ac:dyDescent="0.25">
      <c r="B2" s="214" t="s">
        <v>41</v>
      </c>
      <c r="C2" s="215"/>
      <c r="D2" s="215"/>
      <c r="E2" s="215"/>
      <c r="F2" s="215"/>
      <c r="G2" s="216"/>
      <c r="H2" s="184" t="s">
        <v>54</v>
      </c>
      <c r="I2" s="184" t="s">
        <v>5</v>
      </c>
      <c r="J2" s="214" t="s">
        <v>43</v>
      </c>
      <c r="K2" s="215"/>
      <c r="L2" s="215"/>
      <c r="M2" s="184" t="s">
        <v>112</v>
      </c>
      <c r="N2" s="184" t="s">
        <v>33</v>
      </c>
    </row>
    <row r="3" spans="2:14" ht="15.75" thickBot="1" x14ac:dyDescent="0.3">
      <c r="B3" s="85" t="s">
        <v>16</v>
      </c>
      <c r="C3" s="50" t="s">
        <v>42</v>
      </c>
      <c r="D3" s="50" t="s">
        <v>37</v>
      </c>
      <c r="E3" s="50" t="s">
        <v>36</v>
      </c>
      <c r="F3" s="50" t="s">
        <v>35</v>
      </c>
      <c r="G3" s="51" t="s">
        <v>34</v>
      </c>
      <c r="H3" s="185"/>
      <c r="I3" s="185"/>
      <c r="J3" s="49" t="s">
        <v>3</v>
      </c>
      <c r="K3" s="53" t="s">
        <v>2</v>
      </c>
      <c r="L3" s="52" t="s">
        <v>6</v>
      </c>
      <c r="M3" s="185"/>
      <c r="N3" s="185"/>
    </row>
    <row r="4" spans="2:14" x14ac:dyDescent="0.25">
      <c r="B4" s="81">
        <v>0</v>
      </c>
      <c r="C4" s="36">
        <f>_xlfn.BITAND(_xlfn.BITRSHIFT($B4,4),1)</f>
        <v>0</v>
      </c>
      <c r="D4" s="36">
        <f>_xlfn.BITAND(_xlfn.BITRSHIFT($B4,3),1)</f>
        <v>0</v>
      </c>
      <c r="E4" s="36">
        <f>_xlfn.BITAND(_xlfn.BITRSHIFT($B4,2),1)</f>
        <v>0</v>
      </c>
      <c r="F4" s="36">
        <f>_xlfn.BITAND(_xlfn.BITRSHIFT($B4,1),1)</f>
        <v>0</v>
      </c>
      <c r="G4" s="79">
        <f>_xlfn.BITAND($B4,1)</f>
        <v>0</v>
      </c>
      <c r="H4" s="217" t="s">
        <v>45</v>
      </c>
      <c r="I4" s="68" t="s">
        <v>23</v>
      </c>
      <c r="J4" s="67" t="s">
        <v>85</v>
      </c>
      <c r="K4" s="67" t="s">
        <v>115</v>
      </c>
      <c r="L4" s="70" t="s">
        <v>44</v>
      </c>
      <c r="M4" s="70" t="s">
        <v>113</v>
      </c>
      <c r="N4" s="76" t="s">
        <v>116</v>
      </c>
    </row>
    <row r="5" spans="2:14" ht="15.75" thickBot="1" x14ac:dyDescent="0.3">
      <c r="B5" s="83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80">
        <f t="shared" ref="G5:G35" si="0">_xlfn.BITAND($B5,1)</f>
        <v>1</v>
      </c>
      <c r="H5" s="218"/>
      <c r="I5" s="43" t="s">
        <v>3</v>
      </c>
      <c r="J5" s="63" t="s">
        <v>16</v>
      </c>
      <c r="K5" s="55" t="s">
        <v>64</v>
      </c>
      <c r="L5" s="64" t="s">
        <v>66</v>
      </c>
      <c r="M5" s="35" t="s">
        <v>113</v>
      </c>
      <c r="N5" s="45" t="s">
        <v>117</v>
      </c>
    </row>
    <row r="6" spans="2:14" x14ac:dyDescent="0.25">
      <c r="B6" s="82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60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19" t="s">
        <v>61</v>
      </c>
      <c r="I6" s="65" t="s">
        <v>7</v>
      </c>
      <c r="J6" s="220" t="s">
        <v>70</v>
      </c>
      <c r="K6" s="222" t="s">
        <v>69</v>
      </c>
      <c r="L6" s="224" t="s">
        <v>66</v>
      </c>
      <c r="M6" s="232" t="s">
        <v>113</v>
      </c>
      <c r="N6" s="226" t="s">
        <v>71</v>
      </c>
    </row>
    <row r="7" spans="2:14" x14ac:dyDescent="0.25">
      <c r="B7" s="82">
        <v>3</v>
      </c>
      <c r="C7" s="14">
        <f t="shared" si="1"/>
        <v>0</v>
      </c>
      <c r="D7" s="14">
        <f t="shared" si="2"/>
        <v>0</v>
      </c>
      <c r="E7" s="60">
        <f t="shared" si="3"/>
        <v>0</v>
      </c>
      <c r="F7" s="14">
        <f t="shared" si="4"/>
        <v>1</v>
      </c>
      <c r="G7" s="15">
        <f t="shared" si="0"/>
        <v>1</v>
      </c>
      <c r="H7" s="219"/>
      <c r="I7" s="71" t="s">
        <v>8</v>
      </c>
      <c r="J7" s="220"/>
      <c r="K7" s="222"/>
      <c r="L7" s="224"/>
      <c r="M7" s="233"/>
      <c r="N7" s="226"/>
    </row>
    <row r="8" spans="2:14" x14ac:dyDescent="0.25">
      <c r="B8" s="82">
        <v>4</v>
      </c>
      <c r="C8" s="14">
        <f t="shared" si="1"/>
        <v>0</v>
      </c>
      <c r="D8" s="14">
        <f t="shared" si="2"/>
        <v>0</v>
      </c>
      <c r="E8" s="60">
        <f t="shared" si="3"/>
        <v>1</v>
      </c>
      <c r="F8" s="14">
        <f t="shared" si="4"/>
        <v>0</v>
      </c>
      <c r="G8" s="15">
        <f t="shared" si="0"/>
        <v>0</v>
      </c>
      <c r="H8" s="219"/>
      <c r="I8" s="91" t="s">
        <v>9</v>
      </c>
      <c r="J8" s="220"/>
      <c r="K8" s="222"/>
      <c r="L8" s="224"/>
      <c r="M8" s="233"/>
      <c r="N8" s="226"/>
    </row>
    <row r="9" spans="2:14" x14ac:dyDescent="0.25">
      <c r="B9" s="82">
        <v>5</v>
      </c>
      <c r="C9" s="14">
        <f t="shared" si="1"/>
        <v>0</v>
      </c>
      <c r="D9" s="14">
        <f t="shared" si="2"/>
        <v>0</v>
      </c>
      <c r="E9" s="60">
        <f t="shared" si="3"/>
        <v>1</v>
      </c>
      <c r="F9" s="14">
        <f t="shared" si="4"/>
        <v>0</v>
      </c>
      <c r="G9" s="15">
        <f t="shared" si="0"/>
        <v>1</v>
      </c>
      <c r="H9" s="219"/>
      <c r="I9" s="91" t="s">
        <v>10</v>
      </c>
      <c r="J9" s="220"/>
      <c r="K9" s="222"/>
      <c r="L9" s="224"/>
      <c r="M9" s="233"/>
      <c r="N9" s="226"/>
    </row>
    <row r="10" spans="2:14" x14ac:dyDescent="0.25">
      <c r="B10" s="82">
        <v>6</v>
      </c>
      <c r="C10" s="14">
        <f t="shared" si="1"/>
        <v>0</v>
      </c>
      <c r="D10" s="14">
        <f t="shared" si="2"/>
        <v>0</v>
      </c>
      <c r="E10" s="60">
        <f t="shared" si="3"/>
        <v>1</v>
      </c>
      <c r="F10" s="14">
        <f t="shared" si="4"/>
        <v>1</v>
      </c>
      <c r="G10" s="15">
        <f t="shared" si="0"/>
        <v>0</v>
      </c>
      <c r="H10" s="219"/>
      <c r="I10" s="91" t="s">
        <v>11</v>
      </c>
      <c r="J10" s="220"/>
      <c r="K10" s="222"/>
      <c r="L10" s="224"/>
      <c r="M10" s="233"/>
      <c r="N10" s="226"/>
    </row>
    <row r="11" spans="2:14" ht="15.75" thickBot="1" x14ac:dyDescent="0.3">
      <c r="B11" s="83">
        <v>7</v>
      </c>
      <c r="C11" s="17">
        <f t="shared" si="1"/>
        <v>0</v>
      </c>
      <c r="D11" s="17">
        <f t="shared" si="2"/>
        <v>0</v>
      </c>
      <c r="E11" s="61">
        <f t="shared" si="3"/>
        <v>1</v>
      </c>
      <c r="F11" s="17">
        <f t="shared" si="4"/>
        <v>1</v>
      </c>
      <c r="G11" s="18">
        <f t="shared" si="0"/>
        <v>1</v>
      </c>
      <c r="H11" s="218"/>
      <c r="I11" s="44" t="s">
        <v>12</v>
      </c>
      <c r="J11" s="221"/>
      <c r="K11" s="223"/>
      <c r="L11" s="225"/>
      <c r="M11" s="234"/>
      <c r="N11" s="227"/>
    </row>
    <row r="12" spans="2:14" x14ac:dyDescent="0.25">
      <c r="B12" s="81">
        <v>8</v>
      </c>
      <c r="C12" s="36">
        <f t="shared" si="1"/>
        <v>0</v>
      </c>
      <c r="D12" s="36">
        <f t="shared" si="2"/>
        <v>1</v>
      </c>
      <c r="E12" s="36">
        <f t="shared" si="3"/>
        <v>0</v>
      </c>
      <c r="F12" s="58">
        <f t="shared" si="4"/>
        <v>0</v>
      </c>
      <c r="G12" s="59">
        <f t="shared" si="0"/>
        <v>0</v>
      </c>
      <c r="H12" s="217" t="s">
        <v>55</v>
      </c>
      <c r="I12" s="65" t="s">
        <v>13</v>
      </c>
      <c r="J12" s="228" t="s">
        <v>70</v>
      </c>
      <c r="K12" s="229" t="s">
        <v>69</v>
      </c>
      <c r="L12" s="230" t="s">
        <v>66</v>
      </c>
      <c r="M12" s="217" t="s">
        <v>114</v>
      </c>
      <c r="N12" s="231" t="s">
        <v>104</v>
      </c>
    </row>
    <row r="13" spans="2:14" x14ac:dyDescent="0.25">
      <c r="B13" s="82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60">
        <f t="shared" si="4"/>
        <v>0</v>
      </c>
      <c r="G13" s="15">
        <f t="shared" si="0"/>
        <v>1</v>
      </c>
      <c r="H13" s="219"/>
      <c r="I13" s="91" t="s">
        <v>14</v>
      </c>
      <c r="J13" s="220"/>
      <c r="K13" s="222"/>
      <c r="L13" s="224"/>
      <c r="M13" s="219"/>
      <c r="N13" s="226"/>
    </row>
    <row r="14" spans="2:14" x14ac:dyDescent="0.25">
      <c r="B14" s="82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60">
        <f t="shared" si="4"/>
        <v>1</v>
      </c>
      <c r="G14" s="15">
        <f t="shared" si="0"/>
        <v>0</v>
      </c>
      <c r="H14" s="219"/>
      <c r="I14" s="91" t="s">
        <v>102</v>
      </c>
      <c r="J14" s="220"/>
      <c r="K14" s="222"/>
      <c r="L14" s="224"/>
      <c r="M14" s="219"/>
      <c r="N14" s="226"/>
    </row>
    <row r="15" spans="2:14" ht="15.75" thickBot="1" x14ac:dyDescent="0.3">
      <c r="B15" s="83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1">
        <f t="shared" si="4"/>
        <v>1</v>
      </c>
      <c r="G15" s="18">
        <f t="shared" si="0"/>
        <v>1</v>
      </c>
      <c r="H15" s="218"/>
      <c r="I15" s="44" t="s">
        <v>103</v>
      </c>
      <c r="J15" s="221"/>
      <c r="K15" s="223"/>
      <c r="L15" s="225"/>
      <c r="M15" s="218"/>
      <c r="N15" s="227"/>
    </row>
    <row r="16" spans="2:14" x14ac:dyDescent="0.25">
      <c r="B16" s="81">
        <v>12</v>
      </c>
      <c r="C16" s="36">
        <f t="shared" si="1"/>
        <v>0</v>
      </c>
      <c r="D16" s="36">
        <f t="shared" si="2"/>
        <v>1</v>
      </c>
      <c r="E16" s="36">
        <f t="shared" si="3"/>
        <v>1</v>
      </c>
      <c r="F16" s="58">
        <f t="shared" si="4"/>
        <v>0</v>
      </c>
      <c r="G16" s="59">
        <f t="shared" si="0"/>
        <v>0</v>
      </c>
      <c r="H16" s="217" t="s">
        <v>56</v>
      </c>
      <c r="I16" s="65" t="s">
        <v>47</v>
      </c>
      <c r="J16" s="228" t="s">
        <v>65</v>
      </c>
      <c r="K16" s="235" t="s">
        <v>64</v>
      </c>
      <c r="L16" s="230" t="s">
        <v>66</v>
      </c>
      <c r="M16" s="217" t="s">
        <v>114</v>
      </c>
      <c r="N16" s="76" t="s">
        <v>106</v>
      </c>
    </row>
    <row r="17" spans="2:17" x14ac:dyDescent="0.25">
      <c r="B17" s="82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60">
        <f t="shared" si="4"/>
        <v>0</v>
      </c>
      <c r="G17" s="15">
        <f t="shared" si="0"/>
        <v>1</v>
      </c>
      <c r="H17" s="219"/>
      <c r="I17" s="71" t="s">
        <v>48</v>
      </c>
      <c r="J17" s="220"/>
      <c r="K17" s="236"/>
      <c r="L17" s="224"/>
      <c r="M17" s="219"/>
      <c r="N17" s="75" t="s">
        <v>105</v>
      </c>
    </row>
    <row r="18" spans="2:17" x14ac:dyDescent="0.25">
      <c r="B18" s="82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60">
        <f t="shared" si="4"/>
        <v>1</v>
      </c>
      <c r="G18" s="15">
        <f t="shared" si="0"/>
        <v>0</v>
      </c>
      <c r="H18" s="219"/>
      <c r="I18" s="71" t="s">
        <v>49</v>
      </c>
      <c r="J18" s="220"/>
      <c r="K18" s="236"/>
      <c r="L18" s="224"/>
      <c r="M18" s="219"/>
      <c r="N18" s="75" t="s">
        <v>107</v>
      </c>
    </row>
    <row r="19" spans="2:17" ht="15.75" thickBot="1" x14ac:dyDescent="0.3">
      <c r="B19" s="83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1">
        <f t="shared" si="4"/>
        <v>1</v>
      </c>
      <c r="G19" s="18">
        <f t="shared" si="0"/>
        <v>1</v>
      </c>
      <c r="H19" s="218"/>
      <c r="I19" s="44" t="s">
        <v>50</v>
      </c>
      <c r="J19" s="221"/>
      <c r="K19" s="237"/>
      <c r="L19" s="225"/>
      <c r="M19" s="218"/>
      <c r="N19" s="45" t="s">
        <v>108</v>
      </c>
      <c r="P19" s="1"/>
    </row>
    <row r="20" spans="2:17" x14ac:dyDescent="0.25">
      <c r="B20" s="81">
        <v>16</v>
      </c>
      <c r="C20" s="36">
        <f t="shared" si="1"/>
        <v>1</v>
      </c>
      <c r="D20" s="36">
        <f t="shared" si="2"/>
        <v>0</v>
      </c>
      <c r="E20" s="36">
        <f t="shared" si="3"/>
        <v>0</v>
      </c>
      <c r="F20" s="58">
        <f t="shared" si="4"/>
        <v>0</v>
      </c>
      <c r="G20" s="59">
        <f t="shared" si="0"/>
        <v>0</v>
      </c>
      <c r="H20" s="217" t="s">
        <v>57</v>
      </c>
      <c r="I20" s="65" t="s">
        <v>17</v>
      </c>
      <c r="J20" s="228" t="s">
        <v>16</v>
      </c>
      <c r="K20" s="229" t="s">
        <v>18</v>
      </c>
      <c r="L20" s="230" t="s">
        <v>66</v>
      </c>
      <c r="M20" s="232" t="s">
        <v>113</v>
      </c>
      <c r="N20" s="42" t="s">
        <v>98</v>
      </c>
    </row>
    <row r="21" spans="2:17" x14ac:dyDescent="0.25">
      <c r="B21" s="82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60">
        <f t="shared" si="4"/>
        <v>0</v>
      </c>
      <c r="G21" s="15">
        <f t="shared" si="0"/>
        <v>1</v>
      </c>
      <c r="H21" s="219"/>
      <c r="I21" s="71" t="s">
        <v>19</v>
      </c>
      <c r="J21" s="220"/>
      <c r="K21" s="222"/>
      <c r="L21" s="224"/>
      <c r="M21" s="233"/>
      <c r="N21" s="75" t="s">
        <v>99</v>
      </c>
    </row>
    <row r="22" spans="2:17" x14ac:dyDescent="0.25">
      <c r="B22" s="82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60">
        <f t="shared" si="4"/>
        <v>1</v>
      </c>
      <c r="G22" s="15">
        <f t="shared" si="0"/>
        <v>0</v>
      </c>
      <c r="H22" s="219"/>
      <c r="I22" s="71" t="s">
        <v>20</v>
      </c>
      <c r="J22" s="220"/>
      <c r="K22" s="222"/>
      <c r="L22" s="224"/>
      <c r="M22" s="233"/>
      <c r="N22" s="75" t="s">
        <v>100</v>
      </c>
    </row>
    <row r="23" spans="2:17" ht="15.75" thickBot="1" x14ac:dyDescent="0.3">
      <c r="B23" s="82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1">
        <f t="shared" si="4"/>
        <v>1</v>
      </c>
      <c r="G23" s="18">
        <f t="shared" si="0"/>
        <v>1</v>
      </c>
      <c r="H23" s="218"/>
      <c r="I23" s="43" t="s">
        <v>21</v>
      </c>
      <c r="J23" s="221"/>
      <c r="K23" s="223"/>
      <c r="L23" s="225"/>
      <c r="M23" s="234"/>
      <c r="N23" s="42" t="s">
        <v>101</v>
      </c>
    </row>
    <row r="24" spans="2:17" x14ac:dyDescent="0.25">
      <c r="B24" s="81">
        <v>20</v>
      </c>
      <c r="C24" s="36">
        <f t="shared" si="1"/>
        <v>1</v>
      </c>
      <c r="D24" s="36">
        <f t="shared" si="2"/>
        <v>0</v>
      </c>
      <c r="E24" s="36">
        <f t="shared" si="3"/>
        <v>1</v>
      </c>
      <c r="F24" s="58">
        <f t="shared" si="4"/>
        <v>0</v>
      </c>
      <c r="G24" s="59">
        <f t="shared" si="0"/>
        <v>0</v>
      </c>
      <c r="H24" s="217" t="s">
        <v>58</v>
      </c>
      <c r="I24" s="65" t="s">
        <v>45</v>
      </c>
      <c r="J24" s="67" t="s">
        <v>67</v>
      </c>
      <c r="K24" s="66" t="s">
        <v>64</v>
      </c>
      <c r="L24" s="68" t="s">
        <v>16</v>
      </c>
      <c r="M24" s="103" t="s">
        <v>113</v>
      </c>
      <c r="N24" s="76" t="s">
        <v>93</v>
      </c>
    </row>
    <row r="25" spans="2:17" x14ac:dyDescent="0.25">
      <c r="B25" s="82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60">
        <f t="shared" si="4"/>
        <v>0</v>
      </c>
      <c r="G25" s="15">
        <f t="shared" si="0"/>
        <v>1</v>
      </c>
      <c r="H25" s="219"/>
      <c r="I25" s="71" t="s">
        <v>46</v>
      </c>
      <c r="J25" s="101" t="s">
        <v>67</v>
      </c>
      <c r="K25" s="104" t="s">
        <v>16</v>
      </c>
      <c r="L25" s="102" t="s">
        <v>44</v>
      </c>
      <c r="M25" s="100" t="s">
        <v>113</v>
      </c>
      <c r="N25" s="75" t="s">
        <v>94</v>
      </c>
    </row>
    <row r="26" spans="2:17" x14ac:dyDescent="0.25">
      <c r="B26" s="82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60">
        <f t="shared" si="4"/>
        <v>1</v>
      </c>
      <c r="G26" s="15">
        <f t="shared" si="0"/>
        <v>0</v>
      </c>
      <c r="H26" s="219"/>
      <c r="I26" s="105"/>
      <c r="J26" s="139"/>
      <c r="K26" s="140"/>
      <c r="L26" s="141"/>
      <c r="M26" s="106"/>
      <c r="N26" s="106"/>
    </row>
    <row r="27" spans="2:17" ht="15.75" thickBot="1" x14ac:dyDescent="0.3">
      <c r="B27" s="83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1">
        <f t="shared" si="4"/>
        <v>1</v>
      </c>
      <c r="G27" s="18">
        <f t="shared" si="0"/>
        <v>1</v>
      </c>
      <c r="H27" s="218"/>
      <c r="I27" s="98"/>
      <c r="J27" s="136"/>
      <c r="K27" s="137"/>
      <c r="L27" s="138"/>
      <c r="M27" s="135"/>
      <c r="N27" s="135"/>
    </row>
    <row r="28" spans="2:17" x14ac:dyDescent="0.25">
      <c r="B28" s="81">
        <v>24</v>
      </c>
      <c r="C28" s="36">
        <f>_xlfn.BITAND(_xlfn.BITRSHIFT($B28,4),1)</f>
        <v>1</v>
      </c>
      <c r="D28" s="36">
        <f>_xlfn.BITAND(_xlfn.BITRSHIFT($B28,3),1)</f>
        <v>1</v>
      </c>
      <c r="E28" s="36">
        <f>_xlfn.BITAND(_xlfn.BITRSHIFT($B28,2),1)</f>
        <v>0</v>
      </c>
      <c r="F28" s="58">
        <f>_xlfn.BITAND(_xlfn.BITRSHIFT($B28,1),1)</f>
        <v>0</v>
      </c>
      <c r="G28" s="59">
        <f>_xlfn.BITAND($B28,1)</f>
        <v>0</v>
      </c>
      <c r="H28" s="217" t="s">
        <v>60</v>
      </c>
      <c r="I28" s="38" t="s">
        <v>51</v>
      </c>
      <c r="J28" s="34" t="s">
        <v>64</v>
      </c>
      <c r="K28" s="54" t="s">
        <v>64</v>
      </c>
      <c r="L28" s="40" t="s">
        <v>62</v>
      </c>
      <c r="M28" s="99" t="s">
        <v>113</v>
      </c>
      <c r="N28" s="39" t="s">
        <v>163</v>
      </c>
    </row>
    <row r="29" spans="2:17" x14ac:dyDescent="0.25">
      <c r="B29" s="82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60">
        <f>_xlfn.BITAND(_xlfn.BITRSHIFT($B29,1),1)</f>
        <v>0</v>
      </c>
      <c r="G29" s="15">
        <f>_xlfn.BITAND($B29,1)</f>
        <v>1</v>
      </c>
      <c r="H29" s="219"/>
      <c r="I29" s="71" t="s">
        <v>52</v>
      </c>
      <c r="J29" s="72" t="s">
        <v>64</v>
      </c>
      <c r="K29" s="73" t="s">
        <v>64</v>
      </c>
      <c r="L29" s="74" t="s">
        <v>63</v>
      </c>
      <c r="M29" s="100" t="s">
        <v>113</v>
      </c>
      <c r="N29" s="75" t="s">
        <v>164</v>
      </c>
    </row>
    <row r="30" spans="2:17" x14ac:dyDescent="0.25">
      <c r="B30" s="82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60">
        <f>_xlfn.BITAND(_xlfn.BITRSHIFT($B30,1),1)</f>
        <v>1</v>
      </c>
      <c r="G30" s="15">
        <f>_xlfn.BITAND($B30,1)</f>
        <v>0</v>
      </c>
      <c r="H30" s="219"/>
      <c r="I30" s="71" t="s">
        <v>53</v>
      </c>
      <c r="J30" s="101" t="s">
        <v>16</v>
      </c>
      <c r="K30" s="73" t="s">
        <v>64</v>
      </c>
      <c r="L30" s="102" t="s">
        <v>44</v>
      </c>
      <c r="M30" s="100" t="s">
        <v>113</v>
      </c>
      <c r="N30" s="75" t="s">
        <v>165</v>
      </c>
    </row>
    <row r="31" spans="2:17" ht="15.75" thickBot="1" x14ac:dyDescent="0.3">
      <c r="B31" s="83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1">
        <f t="shared" si="4"/>
        <v>1</v>
      </c>
      <c r="G31" s="18">
        <f t="shared" si="0"/>
        <v>1</v>
      </c>
      <c r="H31" s="218"/>
      <c r="I31" s="92"/>
      <c r="J31" s="95"/>
      <c r="K31" s="96"/>
      <c r="L31" s="97"/>
      <c r="M31" s="97"/>
      <c r="N31" s="94"/>
    </row>
    <row r="32" spans="2:17" x14ac:dyDescent="0.25">
      <c r="B32" s="82">
        <v>28</v>
      </c>
      <c r="C32" s="36">
        <f t="shared" si="1"/>
        <v>1</v>
      </c>
      <c r="D32" s="36">
        <f t="shared" si="2"/>
        <v>1</v>
      </c>
      <c r="E32" s="36">
        <f t="shared" si="3"/>
        <v>1</v>
      </c>
      <c r="F32" s="58">
        <f t="shared" si="4"/>
        <v>0</v>
      </c>
      <c r="G32" s="59">
        <f t="shared" si="0"/>
        <v>0</v>
      </c>
      <c r="H32" s="219" t="s">
        <v>59</v>
      </c>
      <c r="I32" s="65" t="s">
        <v>25</v>
      </c>
      <c r="J32" s="67" t="s">
        <v>67</v>
      </c>
      <c r="K32" s="69" t="s">
        <v>68</v>
      </c>
      <c r="L32" s="70" t="s">
        <v>44</v>
      </c>
      <c r="M32" s="70" t="s">
        <v>113</v>
      </c>
      <c r="N32" s="76" t="s">
        <v>109</v>
      </c>
      <c r="Q32" s="1"/>
    </row>
    <row r="33" spans="2:17" x14ac:dyDescent="0.25">
      <c r="B33" s="82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60">
        <f t="shared" si="4"/>
        <v>0</v>
      </c>
      <c r="G33" s="15">
        <f t="shared" si="0"/>
        <v>1</v>
      </c>
      <c r="H33" s="219"/>
      <c r="I33" s="71" t="s">
        <v>24</v>
      </c>
      <c r="J33" s="72" t="s">
        <v>64</v>
      </c>
      <c r="K33" s="73" t="s">
        <v>64</v>
      </c>
      <c r="L33" s="102" t="s">
        <v>44</v>
      </c>
      <c r="M33" s="102" t="s">
        <v>113</v>
      </c>
      <c r="N33" s="75" t="s">
        <v>110</v>
      </c>
      <c r="Q33" s="1"/>
    </row>
    <row r="34" spans="2:17" ht="15.75" thickBot="1" x14ac:dyDescent="0.3">
      <c r="B34" s="82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60">
        <f t="shared" si="4"/>
        <v>1</v>
      </c>
      <c r="G34" s="15">
        <f t="shared" si="0"/>
        <v>0</v>
      </c>
      <c r="H34" s="218"/>
      <c r="I34" s="98"/>
      <c r="J34" s="95"/>
      <c r="K34" s="96"/>
      <c r="L34" s="97"/>
      <c r="M34" s="97"/>
      <c r="N34" s="94"/>
      <c r="Q34" s="1"/>
    </row>
    <row r="35" spans="2:17" ht="15.75" thickBot="1" x14ac:dyDescent="0.3">
      <c r="B35" s="84">
        <v>31</v>
      </c>
      <c r="C35" s="37">
        <f t="shared" si="1"/>
        <v>1</v>
      </c>
      <c r="D35" s="37">
        <f t="shared" si="2"/>
        <v>1</v>
      </c>
      <c r="E35" s="37">
        <f t="shared" si="3"/>
        <v>1</v>
      </c>
      <c r="F35" s="37">
        <f t="shared" si="4"/>
        <v>1</v>
      </c>
      <c r="G35" s="62">
        <f t="shared" si="0"/>
        <v>1</v>
      </c>
      <c r="H35" s="46" t="s">
        <v>22</v>
      </c>
      <c r="I35" s="46" t="s">
        <v>22</v>
      </c>
      <c r="J35" s="48" t="s">
        <v>64</v>
      </c>
      <c r="K35" s="56" t="s">
        <v>64</v>
      </c>
      <c r="L35" s="33" t="s">
        <v>44</v>
      </c>
      <c r="M35" s="33" t="s">
        <v>113</v>
      </c>
      <c r="N35" s="47" t="s">
        <v>111</v>
      </c>
    </row>
  </sheetData>
  <mergeCells count="32">
    <mergeCell ref="H32:H34"/>
    <mergeCell ref="H28:H31"/>
    <mergeCell ref="H24:H27"/>
    <mergeCell ref="H16:H19"/>
    <mergeCell ref="J16:J19"/>
    <mergeCell ref="K16:K19"/>
    <mergeCell ref="L16:L19"/>
    <mergeCell ref="M16:M19"/>
    <mergeCell ref="H20:H23"/>
    <mergeCell ref="J20:J23"/>
    <mergeCell ref="K20:K23"/>
    <mergeCell ref="L20:L23"/>
    <mergeCell ref="M20:M23"/>
    <mergeCell ref="N6:N11"/>
    <mergeCell ref="H12:H15"/>
    <mergeCell ref="J12:J15"/>
    <mergeCell ref="K12:K15"/>
    <mergeCell ref="L12:L15"/>
    <mergeCell ref="M12:M15"/>
    <mergeCell ref="N12:N15"/>
    <mergeCell ref="M6:M11"/>
    <mergeCell ref="H4:H5"/>
    <mergeCell ref="H6:H11"/>
    <mergeCell ref="J6:J11"/>
    <mergeCell ref="K6:K11"/>
    <mergeCell ref="L6:L11"/>
    <mergeCell ref="N2:N3"/>
    <mergeCell ref="B2:G2"/>
    <mergeCell ref="H2:H3"/>
    <mergeCell ref="I2:I3"/>
    <mergeCell ref="J2:L2"/>
    <mergeCell ref="M2:M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/>
  </sheetViews>
  <sheetFormatPr defaultColWidth="9" defaultRowHeight="15" x14ac:dyDescent="0.25"/>
  <cols>
    <col min="2" max="2" width="9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90.28515625" customWidth="1"/>
  </cols>
  <sheetData>
    <row r="1" spans="2:13" ht="15.75" thickBot="1" x14ac:dyDescent="0.3"/>
    <row r="2" spans="2:13" x14ac:dyDescent="0.25">
      <c r="B2" s="214" t="s">
        <v>41</v>
      </c>
      <c r="C2" s="215"/>
      <c r="D2" s="215"/>
      <c r="E2" s="215"/>
      <c r="F2" s="215"/>
      <c r="G2" s="216"/>
      <c r="H2" s="184" t="s">
        <v>54</v>
      </c>
      <c r="I2" s="184" t="s">
        <v>5</v>
      </c>
      <c r="J2" s="214" t="s">
        <v>43</v>
      </c>
      <c r="K2" s="215"/>
      <c r="L2" s="215"/>
      <c r="M2" s="184" t="s">
        <v>33</v>
      </c>
    </row>
    <row r="3" spans="2:13" ht="15.75" thickBot="1" x14ac:dyDescent="0.3">
      <c r="B3" s="85" t="s">
        <v>16</v>
      </c>
      <c r="C3" s="50" t="s">
        <v>42</v>
      </c>
      <c r="D3" s="50" t="s">
        <v>37</v>
      </c>
      <c r="E3" s="50" t="s">
        <v>36</v>
      </c>
      <c r="F3" s="50" t="s">
        <v>35</v>
      </c>
      <c r="G3" s="51" t="s">
        <v>34</v>
      </c>
      <c r="H3" s="185"/>
      <c r="I3" s="185"/>
      <c r="J3" s="49" t="s">
        <v>3</v>
      </c>
      <c r="K3" s="53" t="s">
        <v>2</v>
      </c>
      <c r="L3" s="52" t="s">
        <v>6</v>
      </c>
      <c r="M3" s="185"/>
    </row>
    <row r="4" spans="2:13" x14ac:dyDescent="0.25">
      <c r="B4" s="81">
        <v>0</v>
      </c>
      <c r="C4" s="36">
        <f>_xlfn.BITAND(_xlfn.BITRSHIFT($B4,4),1)</f>
        <v>0</v>
      </c>
      <c r="D4" s="36">
        <f>_xlfn.BITAND(_xlfn.BITRSHIFT($B4,3),1)</f>
        <v>0</v>
      </c>
      <c r="E4" s="36">
        <f>_xlfn.BITAND(_xlfn.BITRSHIFT($B4,2),1)</f>
        <v>0</v>
      </c>
      <c r="F4" s="36">
        <f>_xlfn.BITAND(_xlfn.BITRSHIFT($B4,1),1)</f>
        <v>0</v>
      </c>
      <c r="G4" s="79">
        <f>_xlfn.BITAND($B4,1)</f>
        <v>0</v>
      </c>
      <c r="H4" s="217" t="s">
        <v>45</v>
      </c>
      <c r="I4" s="68" t="s">
        <v>23</v>
      </c>
      <c r="J4" s="67" t="s">
        <v>85</v>
      </c>
      <c r="K4" s="69" t="s">
        <v>115</v>
      </c>
      <c r="L4" s="67" t="s">
        <v>85</v>
      </c>
      <c r="M4" s="76" t="s">
        <v>116</v>
      </c>
    </row>
    <row r="5" spans="2:13" ht="15.75" thickBot="1" x14ac:dyDescent="0.3">
      <c r="B5" s="83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80">
        <f t="shared" ref="G5:G35" si="0">_xlfn.BITAND($B5,1)</f>
        <v>1</v>
      </c>
      <c r="H5" s="218"/>
      <c r="I5" s="43" t="s">
        <v>3</v>
      </c>
      <c r="J5" s="63" t="s">
        <v>16</v>
      </c>
      <c r="K5" s="55" t="s">
        <v>64</v>
      </c>
      <c r="L5" s="64" t="s">
        <v>16</v>
      </c>
      <c r="M5" s="45" t="s">
        <v>117</v>
      </c>
    </row>
    <row r="6" spans="2:13" x14ac:dyDescent="0.25">
      <c r="B6" s="82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60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19" t="s">
        <v>61</v>
      </c>
      <c r="I6" s="91" t="s">
        <v>7</v>
      </c>
      <c r="J6" s="220" t="s">
        <v>70</v>
      </c>
      <c r="K6" s="222" t="s">
        <v>69</v>
      </c>
      <c r="L6" s="224" t="s">
        <v>66</v>
      </c>
      <c r="M6" s="226" t="s">
        <v>71</v>
      </c>
    </row>
    <row r="7" spans="2:13" x14ac:dyDescent="0.25">
      <c r="B7" s="82">
        <v>3</v>
      </c>
      <c r="C7" s="14">
        <f t="shared" si="1"/>
        <v>0</v>
      </c>
      <c r="D7" s="14">
        <f t="shared" si="2"/>
        <v>0</v>
      </c>
      <c r="E7" s="60">
        <f t="shared" si="3"/>
        <v>0</v>
      </c>
      <c r="F7" s="14">
        <f t="shared" si="4"/>
        <v>1</v>
      </c>
      <c r="G7" s="15">
        <f t="shared" si="0"/>
        <v>1</v>
      </c>
      <c r="H7" s="219"/>
      <c r="I7" s="238"/>
      <c r="J7" s="220"/>
      <c r="K7" s="222"/>
      <c r="L7" s="224"/>
      <c r="M7" s="226"/>
    </row>
    <row r="8" spans="2:13" x14ac:dyDescent="0.25">
      <c r="B8" s="82">
        <v>4</v>
      </c>
      <c r="C8" s="14">
        <f t="shared" si="1"/>
        <v>0</v>
      </c>
      <c r="D8" s="14">
        <f t="shared" si="2"/>
        <v>0</v>
      </c>
      <c r="E8" s="60">
        <f t="shared" si="3"/>
        <v>1</v>
      </c>
      <c r="F8" s="14">
        <f t="shared" si="4"/>
        <v>0</v>
      </c>
      <c r="G8" s="15">
        <f t="shared" si="0"/>
        <v>0</v>
      </c>
      <c r="H8" s="219"/>
      <c r="I8" s="239"/>
      <c r="J8" s="220"/>
      <c r="K8" s="222"/>
      <c r="L8" s="224"/>
      <c r="M8" s="226"/>
    </row>
    <row r="9" spans="2:13" x14ac:dyDescent="0.25">
      <c r="B9" s="82">
        <v>5</v>
      </c>
      <c r="C9" s="14">
        <f t="shared" si="1"/>
        <v>0</v>
      </c>
      <c r="D9" s="14">
        <f t="shared" si="2"/>
        <v>0</v>
      </c>
      <c r="E9" s="60">
        <f t="shared" si="3"/>
        <v>1</v>
      </c>
      <c r="F9" s="14">
        <f t="shared" si="4"/>
        <v>0</v>
      </c>
      <c r="G9" s="15">
        <f t="shared" si="0"/>
        <v>1</v>
      </c>
      <c r="H9" s="219"/>
      <c r="I9" s="240"/>
      <c r="J9" s="220"/>
      <c r="K9" s="222"/>
      <c r="L9" s="224"/>
      <c r="M9" s="226"/>
    </row>
    <row r="10" spans="2:13" x14ac:dyDescent="0.25">
      <c r="B10" s="82">
        <v>6</v>
      </c>
      <c r="C10" s="14">
        <f t="shared" si="1"/>
        <v>0</v>
      </c>
      <c r="D10" s="14">
        <f t="shared" si="2"/>
        <v>0</v>
      </c>
      <c r="E10" s="60">
        <f t="shared" si="3"/>
        <v>1</v>
      </c>
      <c r="F10" s="14">
        <f t="shared" si="4"/>
        <v>1</v>
      </c>
      <c r="G10" s="15">
        <f t="shared" si="0"/>
        <v>0</v>
      </c>
      <c r="H10" s="219"/>
      <c r="I10" s="91" t="s">
        <v>11</v>
      </c>
      <c r="J10" s="220"/>
      <c r="K10" s="222"/>
      <c r="L10" s="224"/>
      <c r="M10" s="226"/>
    </row>
    <row r="11" spans="2:13" ht="15.75" thickBot="1" x14ac:dyDescent="0.3">
      <c r="B11" s="83">
        <v>7</v>
      </c>
      <c r="C11" s="17">
        <f t="shared" si="1"/>
        <v>0</v>
      </c>
      <c r="D11" s="17">
        <f t="shared" si="2"/>
        <v>0</v>
      </c>
      <c r="E11" s="61">
        <f t="shared" si="3"/>
        <v>1</v>
      </c>
      <c r="F11" s="17">
        <f t="shared" si="4"/>
        <v>1</v>
      </c>
      <c r="G11" s="18">
        <f t="shared" si="0"/>
        <v>1</v>
      </c>
      <c r="H11" s="218"/>
      <c r="I11" s="105"/>
      <c r="J11" s="221"/>
      <c r="K11" s="223"/>
      <c r="L11" s="225"/>
      <c r="M11" s="227"/>
    </row>
    <row r="12" spans="2:13" x14ac:dyDescent="0.25">
      <c r="B12" s="81">
        <v>8</v>
      </c>
      <c r="C12" s="36">
        <f t="shared" si="1"/>
        <v>0</v>
      </c>
      <c r="D12" s="36">
        <f t="shared" si="2"/>
        <v>1</v>
      </c>
      <c r="E12" s="36">
        <f t="shared" si="3"/>
        <v>0</v>
      </c>
      <c r="F12" s="58">
        <f t="shared" si="4"/>
        <v>0</v>
      </c>
      <c r="G12" s="59">
        <f t="shared" si="0"/>
        <v>0</v>
      </c>
      <c r="H12" s="217" t="s">
        <v>55</v>
      </c>
      <c r="I12" s="65" t="s">
        <v>13</v>
      </c>
      <c r="J12" s="228" t="s">
        <v>70</v>
      </c>
      <c r="K12" s="229" t="s">
        <v>69</v>
      </c>
      <c r="L12" s="230" t="s">
        <v>66</v>
      </c>
      <c r="M12" s="231" t="s">
        <v>104</v>
      </c>
    </row>
    <row r="13" spans="2:13" x14ac:dyDescent="0.25">
      <c r="B13" s="82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60">
        <f t="shared" si="4"/>
        <v>0</v>
      </c>
      <c r="G13" s="15">
        <f t="shared" si="0"/>
        <v>1</v>
      </c>
      <c r="H13" s="219"/>
      <c r="I13" s="238"/>
      <c r="J13" s="220"/>
      <c r="K13" s="222"/>
      <c r="L13" s="224"/>
      <c r="M13" s="226"/>
    </row>
    <row r="14" spans="2:13" x14ac:dyDescent="0.25">
      <c r="B14" s="82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60">
        <f t="shared" si="4"/>
        <v>1</v>
      </c>
      <c r="G14" s="15">
        <f t="shared" si="0"/>
        <v>0</v>
      </c>
      <c r="H14" s="219"/>
      <c r="I14" s="239"/>
      <c r="J14" s="220"/>
      <c r="K14" s="222"/>
      <c r="L14" s="224"/>
      <c r="M14" s="226"/>
    </row>
    <row r="15" spans="2:13" ht="15.75" thickBot="1" x14ac:dyDescent="0.3">
      <c r="B15" s="83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1">
        <f t="shared" si="4"/>
        <v>1</v>
      </c>
      <c r="G15" s="18">
        <f t="shared" si="0"/>
        <v>1</v>
      </c>
      <c r="H15" s="218"/>
      <c r="I15" s="241"/>
      <c r="J15" s="221"/>
      <c r="K15" s="223"/>
      <c r="L15" s="225"/>
      <c r="M15" s="227"/>
    </row>
    <row r="16" spans="2:13" x14ac:dyDescent="0.25">
      <c r="B16" s="81">
        <v>12</v>
      </c>
      <c r="C16" s="36">
        <f t="shared" si="1"/>
        <v>0</v>
      </c>
      <c r="D16" s="36">
        <f t="shared" si="2"/>
        <v>1</v>
      </c>
      <c r="E16" s="36">
        <f t="shared" si="3"/>
        <v>1</v>
      </c>
      <c r="F16" s="58">
        <f t="shared" si="4"/>
        <v>0</v>
      </c>
      <c r="G16" s="59">
        <f t="shared" si="0"/>
        <v>0</v>
      </c>
      <c r="H16" s="217" t="s">
        <v>56</v>
      </c>
      <c r="I16" s="65" t="s">
        <v>47</v>
      </c>
      <c r="J16" s="228" t="s">
        <v>65</v>
      </c>
      <c r="K16" s="235" t="s">
        <v>64</v>
      </c>
      <c r="L16" s="230" t="s">
        <v>66</v>
      </c>
      <c r="M16" s="76" t="s">
        <v>106</v>
      </c>
    </row>
    <row r="17" spans="2:16" x14ac:dyDescent="0.25">
      <c r="B17" s="82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60">
        <f t="shared" si="4"/>
        <v>0</v>
      </c>
      <c r="G17" s="15">
        <f t="shared" si="0"/>
        <v>1</v>
      </c>
      <c r="H17" s="219"/>
      <c r="I17" s="71" t="s">
        <v>48</v>
      </c>
      <c r="J17" s="220"/>
      <c r="K17" s="236"/>
      <c r="L17" s="224"/>
      <c r="M17" s="75" t="s">
        <v>105</v>
      </c>
    </row>
    <row r="18" spans="2:16" x14ac:dyDescent="0.25">
      <c r="B18" s="82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60">
        <f t="shared" si="4"/>
        <v>1</v>
      </c>
      <c r="G18" s="15">
        <f t="shared" si="0"/>
        <v>0</v>
      </c>
      <c r="H18" s="219"/>
      <c r="I18" s="238"/>
      <c r="J18" s="220"/>
      <c r="K18" s="236"/>
      <c r="L18" s="224"/>
      <c r="M18" s="238"/>
    </row>
    <row r="19" spans="2:16" ht="15.75" thickBot="1" x14ac:dyDescent="0.3">
      <c r="B19" s="83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1">
        <f t="shared" si="4"/>
        <v>1</v>
      </c>
      <c r="G19" s="18">
        <f t="shared" si="0"/>
        <v>1</v>
      </c>
      <c r="H19" s="218"/>
      <c r="I19" s="241"/>
      <c r="J19" s="221"/>
      <c r="K19" s="237"/>
      <c r="L19" s="225"/>
      <c r="M19" s="241"/>
      <c r="O19" s="1"/>
    </row>
    <row r="20" spans="2:16" x14ac:dyDescent="0.25">
      <c r="B20" s="81">
        <v>16</v>
      </c>
      <c r="C20" s="36">
        <f t="shared" si="1"/>
        <v>1</v>
      </c>
      <c r="D20" s="36">
        <f t="shared" si="2"/>
        <v>0</v>
      </c>
      <c r="E20" s="36">
        <f t="shared" si="3"/>
        <v>0</v>
      </c>
      <c r="F20" s="58">
        <f t="shared" si="4"/>
        <v>0</v>
      </c>
      <c r="G20" s="59">
        <f t="shared" si="0"/>
        <v>0</v>
      </c>
      <c r="H20" s="242" t="s">
        <v>179</v>
      </c>
      <c r="I20" s="180" t="s">
        <v>119</v>
      </c>
      <c r="J20" s="67" t="s">
        <v>181</v>
      </c>
      <c r="K20" s="66" t="s">
        <v>64</v>
      </c>
      <c r="L20" s="170" t="s">
        <v>66</v>
      </c>
      <c r="M20" s="179" t="s">
        <v>180</v>
      </c>
    </row>
    <row r="21" spans="2:16" x14ac:dyDescent="0.25">
      <c r="B21" s="82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60">
        <f t="shared" si="4"/>
        <v>0</v>
      </c>
      <c r="G21" s="15">
        <f t="shared" si="0"/>
        <v>1</v>
      </c>
      <c r="H21" s="243"/>
      <c r="I21" s="171"/>
      <c r="J21" s="173"/>
      <c r="K21" s="175"/>
      <c r="L21" s="177"/>
      <c r="M21" s="171"/>
    </row>
    <row r="22" spans="2:16" x14ac:dyDescent="0.25">
      <c r="B22" s="82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60">
        <f t="shared" si="4"/>
        <v>1</v>
      </c>
      <c r="G22" s="15">
        <f t="shared" si="0"/>
        <v>0</v>
      </c>
      <c r="H22" s="243"/>
      <c r="I22" s="171"/>
      <c r="J22" s="173"/>
      <c r="K22" s="175"/>
      <c r="L22" s="177"/>
      <c r="M22" s="171"/>
    </row>
    <row r="23" spans="2:16" ht="15.75" thickBot="1" x14ac:dyDescent="0.3">
      <c r="B23" s="82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1">
        <f t="shared" si="4"/>
        <v>1</v>
      </c>
      <c r="G23" s="18">
        <f t="shared" si="0"/>
        <v>1</v>
      </c>
      <c r="H23" s="244"/>
      <c r="I23" s="172"/>
      <c r="J23" s="174"/>
      <c r="K23" s="176"/>
      <c r="L23" s="178"/>
      <c r="M23" s="172"/>
    </row>
    <row r="24" spans="2:16" x14ac:dyDescent="0.25">
      <c r="B24" s="81">
        <v>20</v>
      </c>
      <c r="C24" s="36">
        <f t="shared" si="1"/>
        <v>1</v>
      </c>
      <c r="D24" s="36">
        <f t="shared" si="2"/>
        <v>0</v>
      </c>
      <c r="E24" s="36">
        <f t="shared" si="3"/>
        <v>1</v>
      </c>
      <c r="F24" s="58">
        <f t="shared" si="4"/>
        <v>0</v>
      </c>
      <c r="G24" s="59">
        <f t="shared" si="0"/>
        <v>0</v>
      </c>
      <c r="H24" s="217" t="s">
        <v>58</v>
      </c>
      <c r="I24" s="65" t="s">
        <v>45</v>
      </c>
      <c r="J24" s="67" t="s">
        <v>67</v>
      </c>
      <c r="K24" s="66" t="s">
        <v>64</v>
      </c>
      <c r="L24" s="68" t="s">
        <v>16</v>
      </c>
      <c r="M24" s="76" t="s">
        <v>93</v>
      </c>
    </row>
    <row r="25" spans="2:16" x14ac:dyDescent="0.25">
      <c r="B25" s="82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60">
        <f t="shared" si="4"/>
        <v>0</v>
      </c>
      <c r="G25" s="15">
        <f t="shared" si="0"/>
        <v>1</v>
      </c>
      <c r="H25" s="219"/>
      <c r="I25" s="71" t="s">
        <v>46</v>
      </c>
      <c r="J25" s="101" t="s">
        <v>67</v>
      </c>
      <c r="K25" s="104" t="s">
        <v>16</v>
      </c>
      <c r="L25" s="102" t="s">
        <v>44</v>
      </c>
      <c r="M25" s="75" t="s">
        <v>94</v>
      </c>
    </row>
    <row r="26" spans="2:16" x14ac:dyDescent="0.25">
      <c r="B26" s="82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60">
        <f t="shared" si="4"/>
        <v>1</v>
      </c>
      <c r="G26" s="15">
        <f t="shared" si="0"/>
        <v>0</v>
      </c>
      <c r="H26" s="219"/>
      <c r="I26" s="238"/>
      <c r="J26" s="245"/>
      <c r="K26" s="247"/>
      <c r="L26" s="249"/>
      <c r="M26" s="251"/>
    </row>
    <row r="27" spans="2:16" ht="15.75" thickBot="1" x14ac:dyDescent="0.3">
      <c r="B27" s="83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1">
        <f t="shared" si="4"/>
        <v>1</v>
      </c>
      <c r="G27" s="18">
        <f t="shared" si="0"/>
        <v>1</v>
      </c>
      <c r="H27" s="218"/>
      <c r="I27" s="241"/>
      <c r="J27" s="246"/>
      <c r="K27" s="248"/>
      <c r="L27" s="250"/>
      <c r="M27" s="252"/>
    </row>
    <row r="28" spans="2:16" x14ac:dyDescent="0.25">
      <c r="B28" s="81">
        <v>24</v>
      </c>
      <c r="C28" s="36">
        <f>_xlfn.BITAND(_xlfn.BITRSHIFT($B28,4),1)</f>
        <v>1</v>
      </c>
      <c r="D28" s="36">
        <f>_xlfn.BITAND(_xlfn.BITRSHIFT($B28,3),1)</f>
        <v>1</v>
      </c>
      <c r="E28" s="36">
        <f>_xlfn.BITAND(_xlfn.BITRSHIFT($B28,2),1)</f>
        <v>0</v>
      </c>
      <c r="F28" s="58">
        <f>_xlfn.BITAND(_xlfn.BITRSHIFT($B28,1),1)</f>
        <v>0</v>
      </c>
      <c r="G28" s="59">
        <f>_xlfn.BITAND($B28,1)</f>
        <v>0</v>
      </c>
      <c r="H28" s="217" t="s">
        <v>167</v>
      </c>
      <c r="I28" s="38" t="s">
        <v>51</v>
      </c>
      <c r="J28" s="34" t="s">
        <v>64</v>
      </c>
      <c r="K28" s="54" t="s">
        <v>64</v>
      </c>
      <c r="L28" s="40" t="s">
        <v>62</v>
      </c>
      <c r="M28" s="39" t="s">
        <v>163</v>
      </c>
    </row>
    <row r="29" spans="2:16" x14ac:dyDescent="0.25">
      <c r="B29" s="82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60">
        <f>_xlfn.BITAND(_xlfn.BITRSHIFT($B29,1),1)</f>
        <v>0</v>
      </c>
      <c r="G29" s="15">
        <f>_xlfn.BITAND($B29,1)</f>
        <v>1</v>
      </c>
      <c r="H29" s="219"/>
      <c r="I29" s="71" t="s">
        <v>52</v>
      </c>
      <c r="J29" s="72" t="s">
        <v>64</v>
      </c>
      <c r="K29" s="73" t="s">
        <v>64</v>
      </c>
      <c r="L29" s="74" t="s">
        <v>63</v>
      </c>
      <c r="M29" s="75" t="s">
        <v>164</v>
      </c>
    </row>
    <row r="30" spans="2:16" x14ac:dyDescent="0.25">
      <c r="B30" s="82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60">
        <f>_xlfn.BITAND(_xlfn.BITRSHIFT($B30,1),1)</f>
        <v>1</v>
      </c>
      <c r="G30" s="15">
        <f>_xlfn.BITAND($B30,1)</f>
        <v>0</v>
      </c>
      <c r="H30" s="219"/>
      <c r="I30" s="71" t="s">
        <v>53</v>
      </c>
      <c r="J30" s="101" t="s">
        <v>16</v>
      </c>
      <c r="K30" s="73" t="s">
        <v>64</v>
      </c>
      <c r="L30" s="102" t="s">
        <v>44</v>
      </c>
      <c r="M30" s="75" t="s">
        <v>165</v>
      </c>
    </row>
    <row r="31" spans="2:16" ht="15.75" thickBot="1" x14ac:dyDescent="0.3">
      <c r="B31" s="83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1">
        <f t="shared" si="4"/>
        <v>1</v>
      </c>
      <c r="G31" s="18">
        <f t="shared" si="0"/>
        <v>1</v>
      </c>
      <c r="H31" s="218"/>
      <c r="I31" s="92"/>
      <c r="J31" s="166"/>
      <c r="K31" s="167"/>
      <c r="L31" s="168"/>
      <c r="M31" s="94"/>
    </row>
    <row r="32" spans="2:16" x14ac:dyDescent="0.25">
      <c r="B32" s="82">
        <v>28</v>
      </c>
      <c r="C32" s="36">
        <f t="shared" si="1"/>
        <v>1</v>
      </c>
      <c r="D32" s="36">
        <f t="shared" si="2"/>
        <v>1</v>
      </c>
      <c r="E32" s="36">
        <f t="shared" si="3"/>
        <v>1</v>
      </c>
      <c r="F32" s="58">
        <f t="shared" si="4"/>
        <v>0</v>
      </c>
      <c r="G32" s="59">
        <f t="shared" si="0"/>
        <v>0</v>
      </c>
      <c r="H32" s="219" t="s">
        <v>168</v>
      </c>
      <c r="I32" s="38" t="s">
        <v>51</v>
      </c>
      <c r="J32" s="34" t="s">
        <v>64</v>
      </c>
      <c r="K32" s="54" t="s">
        <v>64</v>
      </c>
      <c r="L32" s="40" t="s">
        <v>62</v>
      </c>
      <c r="M32" s="39" t="s">
        <v>163</v>
      </c>
      <c r="P32" s="1"/>
    </row>
    <row r="33" spans="2:16" x14ac:dyDescent="0.25">
      <c r="B33" s="82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60">
        <f t="shared" si="4"/>
        <v>0</v>
      </c>
      <c r="G33" s="15">
        <f t="shared" si="0"/>
        <v>1</v>
      </c>
      <c r="H33" s="219"/>
      <c r="I33" s="71" t="s">
        <v>52</v>
      </c>
      <c r="J33" s="72" t="s">
        <v>64</v>
      </c>
      <c r="K33" s="73" t="s">
        <v>64</v>
      </c>
      <c r="L33" s="74" t="s">
        <v>63</v>
      </c>
      <c r="M33" s="75" t="s">
        <v>164</v>
      </c>
      <c r="P33" s="1"/>
    </row>
    <row r="34" spans="2:16" ht="15.75" thickBot="1" x14ac:dyDescent="0.3">
      <c r="B34" s="82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60">
        <f t="shared" si="4"/>
        <v>1</v>
      </c>
      <c r="G34" s="15">
        <f t="shared" si="0"/>
        <v>0</v>
      </c>
      <c r="H34" s="218"/>
      <c r="I34" s="71" t="s">
        <v>53</v>
      </c>
      <c r="J34" s="101" t="s">
        <v>16</v>
      </c>
      <c r="K34" s="73" t="s">
        <v>64</v>
      </c>
      <c r="L34" s="102" t="s">
        <v>44</v>
      </c>
      <c r="M34" s="75" t="s">
        <v>165</v>
      </c>
      <c r="P34" s="1"/>
    </row>
    <row r="35" spans="2:16" ht="15.75" thickBot="1" x14ac:dyDescent="0.3">
      <c r="B35" s="84">
        <v>31</v>
      </c>
      <c r="C35" s="37">
        <f t="shared" si="1"/>
        <v>1</v>
      </c>
      <c r="D35" s="37">
        <f t="shared" si="2"/>
        <v>1</v>
      </c>
      <c r="E35" s="37">
        <f t="shared" si="3"/>
        <v>1</v>
      </c>
      <c r="F35" s="37">
        <f t="shared" si="4"/>
        <v>1</v>
      </c>
      <c r="G35" s="62">
        <f t="shared" si="0"/>
        <v>1</v>
      </c>
      <c r="H35" s="46" t="s">
        <v>22</v>
      </c>
      <c r="I35" s="46" t="s">
        <v>22</v>
      </c>
      <c r="J35" s="48" t="s">
        <v>64</v>
      </c>
      <c r="K35" s="56" t="s">
        <v>64</v>
      </c>
      <c r="L35" s="169" t="s">
        <v>178</v>
      </c>
      <c r="M35" s="47" t="s">
        <v>111</v>
      </c>
    </row>
  </sheetData>
  <mergeCells count="33"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  <mergeCell ref="M6:M11"/>
    <mergeCell ref="H12:H15"/>
    <mergeCell ref="J12:J15"/>
    <mergeCell ref="K12:K15"/>
    <mergeCell ref="L12:L15"/>
    <mergeCell ref="M12:M15"/>
    <mergeCell ref="I13:I15"/>
    <mergeCell ref="H4:H5"/>
    <mergeCell ref="H6:H11"/>
    <mergeCell ref="J6:J11"/>
    <mergeCell ref="K6:K11"/>
    <mergeCell ref="L6:L11"/>
    <mergeCell ref="I7:I9"/>
    <mergeCell ref="M2:M3"/>
    <mergeCell ref="B2:G2"/>
    <mergeCell ref="H2:H3"/>
    <mergeCell ref="I2:I3"/>
    <mergeCell ref="J2:L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>
      <selection activeCell="A2" sqref="A2"/>
    </sheetView>
  </sheetViews>
  <sheetFormatPr defaultColWidth="9" defaultRowHeight="15" x14ac:dyDescent="0.25"/>
  <cols>
    <col min="3" max="5" width="4.7109375" customWidth="1"/>
  </cols>
  <sheetData>
    <row r="1" spans="2:6" ht="15.75" thickBot="1" x14ac:dyDescent="0.3"/>
    <row r="2" spans="2:6" x14ac:dyDescent="0.25">
      <c r="B2" s="214" t="s">
        <v>72</v>
      </c>
      <c r="C2" s="215"/>
      <c r="D2" s="215"/>
      <c r="E2" s="216"/>
      <c r="F2" s="184" t="s">
        <v>32</v>
      </c>
    </row>
    <row r="3" spans="2:6" ht="15.75" thickBot="1" x14ac:dyDescent="0.3">
      <c r="B3" s="12" t="s">
        <v>16</v>
      </c>
      <c r="C3" s="52" t="s">
        <v>36</v>
      </c>
      <c r="D3" s="50" t="s">
        <v>35</v>
      </c>
      <c r="E3" s="51" t="s">
        <v>34</v>
      </c>
      <c r="F3" s="185"/>
    </row>
    <row r="4" spans="2:6" x14ac:dyDescent="0.25">
      <c r="B4" s="13">
        <v>0</v>
      </c>
      <c r="C4" s="58">
        <f>_xlfn.BITAND(_xlfn.BITRSHIFT($B4,2),1)</f>
        <v>0</v>
      </c>
      <c r="D4" s="36">
        <f>_xlfn.BITAND(_xlfn.BITRSHIFT($B4,1),1)</f>
        <v>0</v>
      </c>
      <c r="E4" s="59">
        <f>_xlfn.BITAND(_xlfn.BITRSHIFT($B4,0),1)</f>
        <v>0</v>
      </c>
      <c r="F4" s="25" t="s">
        <v>73</v>
      </c>
    </row>
    <row r="5" spans="2:6" x14ac:dyDescent="0.25">
      <c r="B5" s="13">
        <v>1</v>
      </c>
      <c r="C5" s="60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74</v>
      </c>
    </row>
    <row r="6" spans="2:6" x14ac:dyDescent="0.25">
      <c r="B6" s="19">
        <v>2</v>
      </c>
      <c r="C6" s="77">
        <f t="shared" si="0"/>
        <v>0</v>
      </c>
      <c r="D6" s="20">
        <f t="shared" si="1"/>
        <v>1</v>
      </c>
      <c r="E6" s="21">
        <f t="shared" si="2"/>
        <v>0</v>
      </c>
      <c r="F6" s="27" t="s">
        <v>75</v>
      </c>
    </row>
    <row r="7" spans="2:6" x14ac:dyDescent="0.25">
      <c r="B7" s="22">
        <v>3</v>
      </c>
      <c r="C7" s="78">
        <f t="shared" si="0"/>
        <v>0</v>
      </c>
      <c r="D7" s="23">
        <f t="shared" si="1"/>
        <v>1</v>
      </c>
      <c r="E7" s="24">
        <f t="shared" si="2"/>
        <v>1</v>
      </c>
      <c r="F7" s="29" t="s">
        <v>76</v>
      </c>
    </row>
    <row r="8" spans="2:6" x14ac:dyDescent="0.25">
      <c r="B8" s="13">
        <v>4</v>
      </c>
      <c r="C8" s="60">
        <f t="shared" si="0"/>
        <v>1</v>
      </c>
      <c r="D8" s="14">
        <f t="shared" si="1"/>
        <v>0</v>
      </c>
      <c r="E8" s="15">
        <f t="shared" si="2"/>
        <v>0</v>
      </c>
      <c r="F8" s="25" t="s">
        <v>77</v>
      </c>
    </row>
    <row r="9" spans="2:6" x14ac:dyDescent="0.25">
      <c r="B9" s="13">
        <v>5</v>
      </c>
      <c r="C9" s="60">
        <f t="shared" si="0"/>
        <v>1</v>
      </c>
      <c r="D9" s="14">
        <f t="shared" si="1"/>
        <v>0</v>
      </c>
      <c r="E9" s="15">
        <f t="shared" si="2"/>
        <v>1</v>
      </c>
      <c r="F9" s="25" t="s">
        <v>78</v>
      </c>
    </row>
    <row r="10" spans="2:6" x14ac:dyDescent="0.25">
      <c r="B10" s="19">
        <v>6</v>
      </c>
      <c r="C10" s="77">
        <f t="shared" si="0"/>
        <v>1</v>
      </c>
      <c r="D10" s="20">
        <f t="shared" si="1"/>
        <v>1</v>
      </c>
      <c r="E10" s="21">
        <f t="shared" si="2"/>
        <v>0</v>
      </c>
      <c r="F10" s="27" t="s">
        <v>79</v>
      </c>
    </row>
    <row r="11" spans="2:6" x14ac:dyDescent="0.25">
      <c r="B11" s="22">
        <v>7</v>
      </c>
      <c r="C11" s="78">
        <f t="shared" si="0"/>
        <v>1</v>
      </c>
      <c r="D11" s="23">
        <f t="shared" si="1"/>
        <v>1</v>
      </c>
      <c r="E11" s="24">
        <f t="shared" si="2"/>
        <v>1</v>
      </c>
      <c r="F11" s="29" t="s">
        <v>80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>
      <selection activeCell="S19" sqref="S19"/>
    </sheetView>
  </sheetViews>
  <sheetFormatPr defaultColWidth="9" defaultRowHeight="15" x14ac:dyDescent="0.25"/>
  <cols>
    <col min="2" max="2" width="14.28515625" customWidth="1"/>
  </cols>
  <sheetData>
    <row r="1" spans="2:18" ht="15.75" thickBot="1" x14ac:dyDescent="0.3"/>
    <row r="2" spans="2:18" x14ac:dyDescent="0.25">
      <c r="B2" s="184" t="s">
        <v>81</v>
      </c>
      <c r="C2" s="262" t="s">
        <v>31</v>
      </c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4"/>
    </row>
    <row r="3" spans="2:18" ht="15.75" thickBot="1" x14ac:dyDescent="0.3">
      <c r="B3" s="185"/>
      <c r="C3" s="118">
        <v>15</v>
      </c>
      <c r="D3" s="86">
        <v>14</v>
      </c>
      <c r="E3" s="86">
        <v>13</v>
      </c>
      <c r="F3" s="86">
        <v>12</v>
      </c>
      <c r="G3" s="86">
        <v>11</v>
      </c>
      <c r="H3" s="86">
        <v>10</v>
      </c>
      <c r="I3" s="86">
        <v>9</v>
      </c>
      <c r="J3" s="86">
        <v>8</v>
      </c>
      <c r="K3" s="86">
        <v>7</v>
      </c>
      <c r="L3" s="86">
        <v>6</v>
      </c>
      <c r="M3" s="86">
        <v>5</v>
      </c>
      <c r="N3" s="86">
        <v>4</v>
      </c>
      <c r="O3" s="86">
        <v>3</v>
      </c>
      <c r="P3" s="86">
        <v>2</v>
      </c>
      <c r="Q3" s="86">
        <v>1</v>
      </c>
      <c r="R3" s="87">
        <v>0</v>
      </c>
    </row>
    <row r="4" spans="2:18" ht="20.100000000000001" customHeight="1" x14ac:dyDescent="0.25">
      <c r="B4" s="88" t="s">
        <v>82</v>
      </c>
      <c r="C4" s="155"/>
      <c r="D4" s="155"/>
      <c r="E4" s="155"/>
      <c r="F4" s="155"/>
      <c r="G4" s="155"/>
      <c r="H4" s="155"/>
      <c r="I4" s="155"/>
      <c r="J4" s="155"/>
      <c r="K4" s="69" t="s">
        <v>86</v>
      </c>
      <c r="L4" s="69" t="s">
        <v>87</v>
      </c>
      <c r="M4" s="69" t="s">
        <v>88</v>
      </c>
      <c r="N4" s="256" t="s">
        <v>89</v>
      </c>
      <c r="O4" s="256"/>
      <c r="P4" s="256"/>
      <c r="Q4" s="256"/>
      <c r="R4" s="257"/>
    </row>
    <row r="5" spans="2:18" ht="20.100000000000001" customHeight="1" x14ac:dyDescent="0.25">
      <c r="B5" s="89" t="s">
        <v>3</v>
      </c>
      <c r="C5" s="156"/>
      <c r="D5" s="157"/>
      <c r="E5" s="157"/>
      <c r="F5" s="157"/>
      <c r="G5" s="157"/>
      <c r="H5" s="157"/>
      <c r="I5" s="157"/>
      <c r="J5" s="158"/>
      <c r="K5" s="258" t="s">
        <v>85</v>
      </c>
      <c r="L5" s="254"/>
      <c r="M5" s="254"/>
      <c r="N5" s="254"/>
      <c r="O5" s="254"/>
      <c r="P5" s="254"/>
      <c r="Q5" s="254"/>
      <c r="R5" s="255"/>
    </row>
    <row r="6" spans="2:18" ht="20.100000000000001" customHeight="1" x14ac:dyDescent="0.25">
      <c r="B6" s="89" t="s">
        <v>2</v>
      </c>
      <c r="C6" s="156"/>
      <c r="D6" s="157"/>
      <c r="E6" s="157"/>
      <c r="F6" s="157"/>
      <c r="G6" s="157"/>
      <c r="H6" s="157"/>
      <c r="I6" s="157"/>
      <c r="J6" s="158"/>
      <c r="K6" s="258" t="s">
        <v>85</v>
      </c>
      <c r="L6" s="254"/>
      <c r="M6" s="254"/>
      <c r="N6" s="254"/>
      <c r="O6" s="254"/>
      <c r="P6" s="254"/>
      <c r="Q6" s="254"/>
      <c r="R6" s="255"/>
    </row>
    <row r="7" spans="2:18" ht="20.100000000000001" customHeight="1" x14ac:dyDescent="0.25">
      <c r="B7" s="89" t="s">
        <v>83</v>
      </c>
      <c r="C7" s="159"/>
      <c r="D7" s="159"/>
      <c r="E7" s="159"/>
      <c r="F7" s="159"/>
      <c r="G7" s="159"/>
      <c r="H7" s="159"/>
      <c r="I7" s="159"/>
      <c r="J7" s="159"/>
      <c r="K7" s="259" t="s">
        <v>85</v>
      </c>
      <c r="L7" s="260"/>
      <c r="M7" s="260"/>
      <c r="N7" s="260"/>
      <c r="O7" s="260"/>
      <c r="P7" s="260"/>
      <c r="Q7" s="260"/>
      <c r="R7" s="261"/>
    </row>
    <row r="8" spans="2:18" ht="20.100000000000001" customHeight="1" x14ac:dyDescent="0.25">
      <c r="B8" s="89" t="s">
        <v>84</v>
      </c>
      <c r="C8" s="253" t="s">
        <v>150</v>
      </c>
      <c r="D8" s="254"/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5"/>
    </row>
    <row r="9" spans="2:18" ht="20.100000000000001" customHeight="1" thickBot="1" x14ac:dyDescent="0.3">
      <c r="B9" s="90" t="s">
        <v>90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53" t="s">
        <v>88</v>
      </c>
      <c r="Q9" s="153" t="s">
        <v>92</v>
      </c>
      <c r="R9" s="154" t="s">
        <v>91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D17"/>
  <sheetViews>
    <sheetView workbookViewId="0">
      <selection activeCell="B12" sqref="B12:B17"/>
    </sheetView>
  </sheetViews>
  <sheetFormatPr defaultColWidth="9" defaultRowHeight="15" x14ac:dyDescent="0.25"/>
  <cols>
    <col min="2" max="2" width="21.140625" customWidth="1"/>
    <col min="3" max="3" width="82.28515625" customWidth="1"/>
    <col min="4" max="4" width="44" customWidth="1"/>
  </cols>
  <sheetData>
    <row r="1" spans="2:4" ht="15.75" thickBot="1" x14ac:dyDescent="0.3"/>
    <row r="2" spans="2:4" ht="22.5" customHeight="1" thickBot="1" x14ac:dyDescent="0.3">
      <c r="B2" s="160" t="s">
        <v>152</v>
      </c>
      <c r="C2" s="162" t="s">
        <v>153</v>
      </c>
    </row>
    <row r="3" spans="2:4" x14ac:dyDescent="0.25">
      <c r="B3" s="161" t="s">
        <v>118</v>
      </c>
      <c r="C3" s="39" t="s">
        <v>122</v>
      </c>
    </row>
    <row r="4" spans="2:4" x14ac:dyDescent="0.25">
      <c r="B4" s="163" t="s">
        <v>119</v>
      </c>
      <c r="C4" s="75" t="s">
        <v>123</v>
      </c>
    </row>
    <row r="5" spans="2:4" x14ac:dyDescent="0.25">
      <c r="B5" s="161" t="s">
        <v>125</v>
      </c>
      <c r="C5" s="42" t="s">
        <v>151</v>
      </c>
    </row>
    <row r="6" spans="2:4" x14ac:dyDescent="0.25">
      <c r="B6" s="163" t="s">
        <v>120</v>
      </c>
      <c r="C6" s="75" t="s">
        <v>154</v>
      </c>
    </row>
    <row r="7" spans="2:4" x14ac:dyDescent="0.25">
      <c r="B7" s="161" t="s">
        <v>121</v>
      </c>
      <c r="C7" s="42" t="s">
        <v>124</v>
      </c>
    </row>
    <row r="8" spans="2:4" ht="15.75" thickBot="1" x14ac:dyDescent="0.3">
      <c r="B8" s="164" t="s">
        <v>46</v>
      </c>
      <c r="C8" s="165" t="s">
        <v>155</v>
      </c>
    </row>
    <row r="10" spans="2:4" ht="15.75" thickBot="1" x14ac:dyDescent="0.3"/>
    <row r="11" spans="2:4" ht="15.75" thickBot="1" x14ac:dyDescent="0.3">
      <c r="B11" s="160" t="s">
        <v>152</v>
      </c>
      <c r="C11" s="162" t="s">
        <v>153</v>
      </c>
      <c r="D11" s="162" t="s">
        <v>171</v>
      </c>
    </row>
    <row r="12" spans="2:4" x14ac:dyDescent="0.25">
      <c r="B12" s="163" t="s">
        <v>156</v>
      </c>
      <c r="C12" s="75" t="s">
        <v>157</v>
      </c>
      <c r="D12" s="75" t="s">
        <v>175</v>
      </c>
    </row>
    <row r="13" spans="2:4" x14ac:dyDescent="0.25">
      <c r="B13" s="161" t="s">
        <v>158</v>
      </c>
      <c r="C13" s="42" t="s">
        <v>159</v>
      </c>
      <c r="D13" s="42" t="s">
        <v>172</v>
      </c>
    </row>
    <row r="14" spans="2:4" x14ac:dyDescent="0.25">
      <c r="B14" s="163" t="s">
        <v>160</v>
      </c>
      <c r="C14" s="75" t="s">
        <v>161</v>
      </c>
      <c r="D14" s="75" t="s">
        <v>173</v>
      </c>
    </row>
    <row r="15" spans="2:4" x14ac:dyDescent="0.25">
      <c r="B15" s="163" t="s">
        <v>121</v>
      </c>
      <c r="C15" s="75" t="s">
        <v>166</v>
      </c>
      <c r="D15" s="75" t="s">
        <v>176</v>
      </c>
    </row>
    <row r="16" spans="2:4" x14ac:dyDescent="0.25">
      <c r="B16" s="161" t="s">
        <v>169</v>
      </c>
      <c r="C16" s="42" t="s">
        <v>170</v>
      </c>
      <c r="D16" s="42" t="s">
        <v>177</v>
      </c>
    </row>
    <row r="17" spans="2:4" ht="15.75" thickBot="1" x14ac:dyDescent="0.3">
      <c r="B17" s="164" t="s">
        <v>46</v>
      </c>
      <c r="C17" s="165" t="s">
        <v>162</v>
      </c>
      <c r="D17" s="165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>
      <selection activeCell="J38" sqref="J38"/>
    </sheetView>
  </sheetViews>
  <sheetFormatPr defaultColWidth="9" defaultRowHeight="15" x14ac:dyDescent="0.25"/>
  <cols>
    <col min="4" max="4" width="7.28515625" customWidth="1"/>
  </cols>
  <sheetData>
    <row r="1" spans="2:5" ht="15.75" thickBot="1" x14ac:dyDescent="0.3"/>
    <row r="2" spans="2:5" ht="22.5" customHeight="1" x14ac:dyDescent="0.25">
      <c r="B2" s="265" t="s">
        <v>141</v>
      </c>
      <c r="C2" s="266"/>
      <c r="D2" s="1"/>
    </row>
    <row r="3" spans="2:5" ht="24.75" customHeight="1" thickBot="1" x14ac:dyDescent="0.3">
      <c r="B3" s="143" t="s">
        <v>139</v>
      </c>
      <c r="C3" s="150" t="s">
        <v>140</v>
      </c>
      <c r="D3" s="1"/>
    </row>
    <row r="4" spans="2:5" x14ac:dyDescent="0.25">
      <c r="B4" s="93"/>
      <c r="C4" s="133" t="s">
        <v>143</v>
      </c>
      <c r="D4" s="267" t="s">
        <v>148</v>
      </c>
    </row>
    <row r="5" spans="2:5" x14ac:dyDescent="0.25">
      <c r="B5" s="95"/>
      <c r="C5" s="134" t="s">
        <v>142</v>
      </c>
      <c r="D5" s="268"/>
    </row>
    <row r="6" spans="2:5" ht="15.75" thickBot="1" x14ac:dyDescent="0.3">
      <c r="B6" s="136"/>
      <c r="C6" s="64" t="s">
        <v>144</v>
      </c>
      <c r="D6" s="269"/>
    </row>
    <row r="7" spans="2:5" x14ac:dyDescent="0.25">
      <c r="B7" s="144" t="s">
        <v>143</v>
      </c>
      <c r="C7" s="145"/>
      <c r="D7" s="270" t="s">
        <v>149</v>
      </c>
    </row>
    <row r="8" spans="2:5" x14ac:dyDescent="0.25">
      <c r="B8" s="41" t="s">
        <v>142</v>
      </c>
      <c r="C8" s="146"/>
      <c r="D8" s="271"/>
    </row>
    <row r="9" spans="2:5" x14ac:dyDescent="0.25">
      <c r="B9" s="41" t="s">
        <v>144</v>
      </c>
      <c r="C9" s="146"/>
      <c r="D9" s="271"/>
    </row>
    <row r="10" spans="2:5" x14ac:dyDescent="0.25">
      <c r="B10" s="147" t="s">
        <v>145</v>
      </c>
      <c r="C10" s="148" t="s">
        <v>145</v>
      </c>
      <c r="D10" s="271"/>
    </row>
    <row r="11" spans="2:5" x14ac:dyDescent="0.25">
      <c r="B11" s="41" t="s">
        <v>142</v>
      </c>
      <c r="C11" s="134" t="s">
        <v>142</v>
      </c>
      <c r="D11" s="271"/>
      <c r="E11" s="1"/>
    </row>
    <row r="12" spans="2:5" ht="15.75" thickBot="1" x14ac:dyDescent="0.3">
      <c r="B12" s="149" t="s">
        <v>146</v>
      </c>
      <c r="C12" s="64" t="s">
        <v>146</v>
      </c>
      <c r="D12" s="272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tabSelected="1" workbookViewId="0">
      <selection activeCell="G29" sqref="G29"/>
    </sheetView>
  </sheetViews>
  <sheetFormatPr defaultRowHeight="15" x14ac:dyDescent="0.25"/>
  <cols>
    <col min="3" max="4" width="38.5703125" customWidth="1"/>
  </cols>
  <sheetData>
    <row r="1" spans="2:4" ht="15.75" thickBot="1" x14ac:dyDescent="0.3"/>
    <row r="2" spans="2:4" x14ac:dyDescent="0.25">
      <c r="B2" s="287" t="s">
        <v>195</v>
      </c>
      <c r="C2" s="285" t="s">
        <v>194</v>
      </c>
      <c r="D2" s="286"/>
    </row>
    <row r="3" spans="2:4" ht="15.75" thickBot="1" x14ac:dyDescent="0.3">
      <c r="B3" s="288"/>
      <c r="C3" s="289" t="s">
        <v>191</v>
      </c>
      <c r="D3" s="290" t="s">
        <v>192</v>
      </c>
    </row>
    <row r="4" spans="2:4" ht="22.5" customHeight="1" x14ac:dyDescent="0.25">
      <c r="B4" s="89">
        <v>0</v>
      </c>
      <c r="C4" s="147" t="s">
        <v>199</v>
      </c>
      <c r="D4" s="230" t="s">
        <v>189</v>
      </c>
    </row>
    <row r="5" spans="2:4" ht="22.5" customHeight="1" x14ac:dyDescent="0.25">
      <c r="B5" s="273">
        <v>1</v>
      </c>
      <c r="C5" s="294" t="s">
        <v>200</v>
      </c>
      <c r="D5" s="277"/>
    </row>
    <row r="6" spans="2:4" ht="22.5" customHeight="1" x14ac:dyDescent="0.25">
      <c r="B6" s="89">
        <v>2</v>
      </c>
      <c r="C6" s="275" t="s">
        <v>196</v>
      </c>
      <c r="D6" s="280" t="s">
        <v>193</v>
      </c>
    </row>
    <row r="7" spans="2:4" ht="22.5" customHeight="1" x14ac:dyDescent="0.25">
      <c r="B7" s="273">
        <v>3</v>
      </c>
      <c r="C7" s="220"/>
      <c r="D7" s="224"/>
    </row>
    <row r="8" spans="2:4" ht="22.5" customHeight="1" x14ac:dyDescent="0.25">
      <c r="B8" s="89">
        <v>4</v>
      </c>
      <c r="C8" s="276"/>
      <c r="D8" s="277"/>
    </row>
    <row r="9" spans="2:4" ht="22.5" customHeight="1" x14ac:dyDescent="0.25">
      <c r="B9" s="273">
        <v>5</v>
      </c>
      <c r="C9" s="95"/>
      <c r="D9" s="278"/>
    </row>
    <row r="10" spans="2:4" ht="22.5" customHeight="1" x14ac:dyDescent="0.25">
      <c r="B10" s="89">
        <v>6</v>
      </c>
      <c r="C10" s="139"/>
      <c r="D10" s="146"/>
    </row>
    <row r="11" spans="2:4" ht="22.5" customHeight="1" thickBot="1" x14ac:dyDescent="0.3">
      <c r="B11" s="274">
        <v>7</v>
      </c>
      <c r="C11" s="136"/>
      <c r="D11" s="279"/>
    </row>
    <row r="13" spans="2:4" ht="15.75" thickBot="1" x14ac:dyDescent="0.3"/>
    <row r="14" spans="2:4" ht="22.5" customHeight="1" thickBot="1" x14ac:dyDescent="0.3">
      <c r="B14" s="291" t="s">
        <v>197</v>
      </c>
      <c r="C14" s="292" t="s">
        <v>196</v>
      </c>
    </row>
    <row r="15" spans="2:4" x14ac:dyDescent="0.25">
      <c r="B15" s="89">
        <v>0</v>
      </c>
      <c r="C15" s="26" t="s">
        <v>182</v>
      </c>
    </row>
    <row r="16" spans="2:4" x14ac:dyDescent="0.25">
      <c r="B16" s="273">
        <v>1</v>
      </c>
      <c r="C16" s="281" t="s">
        <v>185</v>
      </c>
    </row>
    <row r="17" spans="2:3" x14ac:dyDescent="0.25">
      <c r="B17" s="89">
        <v>2</v>
      </c>
      <c r="C17" s="26" t="s">
        <v>198</v>
      </c>
    </row>
    <row r="18" spans="2:3" x14ac:dyDescent="0.25">
      <c r="B18" s="273">
        <v>3</v>
      </c>
      <c r="C18" s="281" t="s">
        <v>183</v>
      </c>
    </row>
    <row r="19" spans="2:3" x14ac:dyDescent="0.25">
      <c r="B19" s="89">
        <v>4</v>
      </c>
      <c r="C19" s="26" t="s">
        <v>184</v>
      </c>
    </row>
    <row r="20" spans="2:3" x14ac:dyDescent="0.25">
      <c r="B20" s="273">
        <v>5</v>
      </c>
      <c r="C20" s="281"/>
    </row>
    <row r="21" spans="2:3" x14ac:dyDescent="0.25">
      <c r="B21" s="89">
        <v>6</v>
      </c>
      <c r="C21" s="26"/>
    </row>
    <row r="22" spans="2:3" ht="15.75" thickBot="1" x14ac:dyDescent="0.3">
      <c r="B22" s="274">
        <v>7</v>
      </c>
      <c r="C22" s="284"/>
    </row>
    <row r="23" spans="2:3" x14ac:dyDescent="0.25">
      <c r="B23" s="1"/>
    </row>
    <row r="24" spans="2:3" ht="15.75" thickBot="1" x14ac:dyDescent="0.3">
      <c r="B24" s="1"/>
    </row>
    <row r="25" spans="2:3" ht="22.5" customHeight="1" thickBot="1" x14ac:dyDescent="0.3">
      <c r="B25" s="291" t="s">
        <v>197</v>
      </c>
      <c r="C25" s="292" t="s">
        <v>189</v>
      </c>
    </row>
    <row r="26" spans="2:3" x14ac:dyDescent="0.25">
      <c r="B26" s="89">
        <v>0</v>
      </c>
      <c r="C26" s="26" t="s">
        <v>186</v>
      </c>
    </row>
    <row r="27" spans="2:3" x14ac:dyDescent="0.25">
      <c r="B27" s="273">
        <v>1</v>
      </c>
      <c r="C27" s="281" t="s">
        <v>187</v>
      </c>
    </row>
    <row r="28" spans="2:3" x14ac:dyDescent="0.25">
      <c r="B28" s="89">
        <v>2</v>
      </c>
      <c r="C28" s="26" t="s">
        <v>188</v>
      </c>
    </row>
    <row r="29" spans="2:3" ht="15.75" thickBot="1" x14ac:dyDescent="0.3">
      <c r="B29" s="282">
        <v>3</v>
      </c>
      <c r="C29" s="283" t="s">
        <v>190</v>
      </c>
    </row>
    <row r="31" spans="2:3" ht="15.75" thickBot="1" x14ac:dyDescent="0.3"/>
    <row r="32" spans="2:3" ht="22.5" customHeight="1" thickBot="1" x14ac:dyDescent="0.3">
      <c r="B32" s="291" t="s">
        <v>197</v>
      </c>
      <c r="C32" s="292" t="s">
        <v>193</v>
      </c>
    </row>
    <row r="33" spans="2:3" x14ac:dyDescent="0.25">
      <c r="B33" s="89">
        <v>0</v>
      </c>
      <c r="C33" s="26" t="s">
        <v>156</v>
      </c>
    </row>
    <row r="34" spans="2:3" x14ac:dyDescent="0.25">
      <c r="B34" s="273">
        <v>1</v>
      </c>
      <c r="C34" s="281" t="s">
        <v>158</v>
      </c>
    </row>
    <row r="35" spans="2:3" x14ac:dyDescent="0.25">
      <c r="B35" s="89">
        <v>2</v>
      </c>
      <c r="C35" s="26" t="s">
        <v>160</v>
      </c>
    </row>
    <row r="36" spans="2:3" x14ac:dyDescent="0.25">
      <c r="B36" s="273">
        <v>3</v>
      </c>
      <c r="C36" s="281" t="s">
        <v>121</v>
      </c>
    </row>
    <row r="37" spans="2:3" x14ac:dyDescent="0.25">
      <c r="B37" s="89">
        <v>4</v>
      </c>
      <c r="C37" s="26" t="s">
        <v>169</v>
      </c>
    </row>
    <row r="38" spans="2:3" x14ac:dyDescent="0.25">
      <c r="B38" s="273">
        <v>5</v>
      </c>
      <c r="C38" s="281" t="s">
        <v>46</v>
      </c>
    </row>
    <row r="39" spans="2:3" x14ac:dyDescent="0.25">
      <c r="B39" s="92">
        <v>6</v>
      </c>
      <c r="C39" s="293" t="s">
        <v>190</v>
      </c>
    </row>
    <row r="40" spans="2:3" ht="15.75" thickBot="1" x14ac:dyDescent="0.3">
      <c r="B40" s="282">
        <v>7</v>
      </c>
      <c r="C40" s="283" t="s">
        <v>190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2025-05-19T16:53:52Z</dcterms:created>
  <dcterms:modified xsi:type="dcterms:W3CDTF">2025-08-20T16:45:47Z</dcterms:modified>
</cp:coreProperties>
</file>